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2026_1713\5월\Scholytics\"/>
    </mc:Choice>
  </mc:AlternateContent>
  <xr:revisionPtr revIDLastSave="0" documentId="8_{601307B8-E0FC-4FDD-BB80-48E201C77F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명지대 기본 지표 테이블" sheetId="10" r:id="rId1"/>
    <sheet name="국제학술지 논문당 피인용_only articles" sheetId="2" r:id="rId2"/>
    <sheet name="국제협업논문_only articles" sheetId="4" r:id="rId3"/>
    <sheet name="인문사회 국내논문당 피인용_only articles" sheetId="9" r:id="rId4"/>
  </sheets>
  <definedNames>
    <definedName name="_xlnm._FilterDatabase" localSheetId="1" hidden="1">'국제학술지 논문당 피인용_only articles'!$A$2:$E$2</definedName>
    <definedName name="_xlnm._FilterDatabase" localSheetId="2" hidden="1">'국제협업논문_only articles'!$A$2:$G$2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9" i="4" l="1"/>
  <c r="F9" i="4"/>
  <c r="F47" i="4"/>
  <c r="F44" i="4"/>
  <c r="F12" i="4"/>
  <c r="F26" i="4"/>
  <c r="F7" i="4"/>
  <c r="F3" i="4"/>
  <c r="F51" i="4"/>
  <c r="F22" i="4"/>
  <c r="F13" i="4"/>
  <c r="F30" i="4"/>
  <c r="F41" i="4"/>
  <c r="F17" i="4"/>
  <c r="F19" i="4"/>
  <c r="F20" i="4"/>
  <c r="F27" i="4"/>
  <c r="F24" i="4"/>
  <c r="F45" i="4"/>
  <c r="F56" i="4"/>
  <c r="F28" i="4"/>
  <c r="F35" i="4"/>
  <c r="F10" i="4"/>
  <c r="F33" i="4"/>
  <c r="F11" i="4"/>
  <c r="F42" i="4"/>
  <c r="F14" i="4"/>
  <c r="F8" i="4"/>
  <c r="F18" i="4"/>
  <c r="F5" i="4"/>
  <c r="F38" i="4"/>
  <c r="F53" i="4"/>
  <c r="F36" i="4"/>
  <c r="F29" i="4"/>
  <c r="F49" i="4"/>
  <c r="F21" i="4"/>
  <c r="F25" i="4"/>
  <c r="F31" i="4"/>
  <c r="F15" i="4"/>
  <c r="F43" i="4"/>
  <c r="F40" i="4"/>
  <c r="F46" i="4"/>
  <c r="F32" i="4"/>
  <c r="F54" i="4"/>
  <c r="F34" i="4"/>
  <c r="F23" i="4"/>
  <c r="F52" i="4"/>
  <c r="F37" i="4"/>
  <c r="F6" i="4"/>
  <c r="F16" i="4"/>
  <c r="F55" i="4"/>
  <c r="F4" i="4"/>
  <c r="F50" i="4"/>
  <c r="F48" i="4"/>
</calcChain>
</file>

<file path=xl/sharedStrings.xml><?xml version="1.0" encoding="utf-8"?>
<sst xmlns="http://schemas.openxmlformats.org/spreadsheetml/2006/main" count="603" uniqueCount="214">
  <si>
    <t>Id</t>
  </si>
  <si>
    <t>Entities</t>
  </si>
  <si>
    <t>대학명</t>
  </si>
  <si>
    <t>Publications</t>
  </si>
  <si>
    <t>Publications in top journal percentiles</t>
  </si>
  <si>
    <t>Publications in top citation percentiles</t>
  </si>
  <si>
    <t>Citations</t>
  </si>
  <si>
    <t>FWCI</t>
  </si>
  <si>
    <t>U_1</t>
  </si>
  <si>
    <t>The Catholic University of Korea</t>
  </si>
  <si>
    <t>카톨릭대</t>
  </si>
  <si>
    <t>없음</t>
  </si>
  <si>
    <t>U_10</t>
  </si>
  <si>
    <t>Keimyung University</t>
  </si>
  <si>
    <t>계명대</t>
  </si>
  <si>
    <t>U_101</t>
  </si>
  <si>
    <t>Yeungnam University</t>
  </si>
  <si>
    <t>영남대</t>
  </si>
  <si>
    <t>U_102</t>
  </si>
  <si>
    <t>Soonchunhyang University</t>
  </si>
  <si>
    <t>순천향대</t>
  </si>
  <si>
    <t>U_11</t>
  </si>
  <si>
    <t>Kyung Hee University</t>
  </si>
  <si>
    <t>경희대</t>
  </si>
  <si>
    <t>U_116</t>
  </si>
  <si>
    <t>Hanyang University ERICA</t>
  </si>
  <si>
    <t>한양대(ERICA)</t>
  </si>
  <si>
    <t>U_117</t>
  </si>
  <si>
    <t>Kongju National university</t>
  </si>
  <si>
    <t>국립공주대</t>
  </si>
  <si>
    <t>U_124</t>
  </si>
  <si>
    <t>Konkuk University Glocal Campus</t>
  </si>
  <si>
    <t>건국대(글로컬)</t>
  </si>
  <si>
    <t>U_13</t>
  </si>
  <si>
    <t>Seoul National University</t>
  </si>
  <si>
    <t>서울대</t>
  </si>
  <si>
    <t>U_139</t>
  </si>
  <si>
    <t>Gachon University</t>
  </si>
  <si>
    <t>가천대</t>
  </si>
  <si>
    <t>U_14</t>
  </si>
  <si>
    <t>Hallym University</t>
  </si>
  <si>
    <t>한림대</t>
  </si>
  <si>
    <t>U_15</t>
  </si>
  <si>
    <t>Chung-Ang university</t>
  </si>
  <si>
    <t>중앙대</t>
  </si>
  <si>
    <t>U_159</t>
  </si>
  <si>
    <t>Seoul National University of Science and Technology</t>
  </si>
  <si>
    <t>서울과학기술대</t>
  </si>
  <si>
    <t>U_16</t>
  </si>
  <si>
    <t>Ajou University</t>
  </si>
  <si>
    <t>아주대</t>
  </si>
  <si>
    <t>U_174</t>
  </si>
  <si>
    <t>Hanbat National University</t>
  </si>
  <si>
    <t>국립한밭대</t>
  </si>
  <si>
    <t>U_18</t>
  </si>
  <si>
    <t>Changwon National University</t>
  </si>
  <si>
    <t>국립창원대</t>
  </si>
  <si>
    <t>U_19</t>
  </si>
  <si>
    <t>Jeju National University</t>
  </si>
  <si>
    <t>제주대</t>
  </si>
  <si>
    <t>U_2</t>
  </si>
  <si>
    <t>Jeonbuk National University</t>
  </si>
  <si>
    <t>전북대</t>
  </si>
  <si>
    <t>U_21</t>
  </si>
  <si>
    <t>Chonnam National University</t>
  </si>
  <si>
    <t>전남대</t>
  </si>
  <si>
    <t>U_22</t>
  </si>
  <si>
    <t>Chosun University</t>
  </si>
  <si>
    <t>조선대</t>
  </si>
  <si>
    <t>U_23</t>
  </si>
  <si>
    <t>Chungbuk National University</t>
  </si>
  <si>
    <t>충북대</t>
  </si>
  <si>
    <t>U_24</t>
  </si>
  <si>
    <t>Korea National University of Transportation</t>
  </si>
  <si>
    <t>국립한국교통대학</t>
  </si>
  <si>
    <t>U_27</t>
  </si>
  <si>
    <t>Dankook University</t>
  </si>
  <si>
    <t>단국대</t>
  </si>
  <si>
    <t>U_3</t>
  </si>
  <si>
    <t>Chungnam National University</t>
  </si>
  <si>
    <t>충남대</t>
  </si>
  <si>
    <t>U_30</t>
  </si>
  <si>
    <t>Dong-A University</t>
  </si>
  <si>
    <t>동아대</t>
  </si>
  <si>
    <t>U_32</t>
  </si>
  <si>
    <t>Dongguk University</t>
  </si>
  <si>
    <t>동국대(서울)</t>
  </si>
  <si>
    <t>U_37</t>
  </si>
  <si>
    <t>Hankuk University of Foreign Studies</t>
  </si>
  <si>
    <t>한국외국어대</t>
  </si>
  <si>
    <t>U_4</t>
  </si>
  <si>
    <t>Hanyang University</t>
  </si>
  <si>
    <t>한양대(서울)</t>
  </si>
  <si>
    <t>U_43</t>
  </si>
  <si>
    <t>Hongik University</t>
  </si>
  <si>
    <t>홍익대</t>
  </si>
  <si>
    <t>U_47</t>
  </si>
  <si>
    <t>Incheon National University</t>
  </si>
  <si>
    <t>인천대</t>
  </si>
  <si>
    <t>U_5</t>
  </si>
  <si>
    <t>Ewha Womans University</t>
  </si>
  <si>
    <t>이화여대</t>
  </si>
  <si>
    <t>U_50</t>
  </si>
  <si>
    <t>Gangneung-Wonju National University</t>
  </si>
  <si>
    <t>강릉원주대</t>
  </si>
  <si>
    <t>U_51</t>
  </si>
  <si>
    <t>Kangwon National University</t>
  </si>
  <si>
    <t>강원대</t>
  </si>
  <si>
    <t>U_53</t>
  </si>
  <si>
    <t>Konkuk University</t>
  </si>
  <si>
    <t>건국대(서울)</t>
  </si>
  <si>
    <t>U_54</t>
  </si>
  <si>
    <t>Konyang University</t>
  </si>
  <si>
    <t>건양대</t>
  </si>
  <si>
    <t>U_55</t>
  </si>
  <si>
    <t>Kookmin University</t>
  </si>
  <si>
    <t>국민대</t>
  </si>
  <si>
    <t>U_6</t>
  </si>
  <si>
    <t>Inha University</t>
  </si>
  <si>
    <t>인하대</t>
  </si>
  <si>
    <t>U_60</t>
  </si>
  <si>
    <t>Korea University</t>
  </si>
  <si>
    <t>고려대(서울)</t>
  </si>
  <si>
    <t>U_64</t>
  </si>
  <si>
    <t>Kwangwoon University</t>
  </si>
  <si>
    <t>광운대</t>
  </si>
  <si>
    <t>U_65</t>
  </si>
  <si>
    <t>Kyonggi University</t>
  </si>
  <si>
    <t>경기대</t>
  </si>
  <si>
    <t>U_67</t>
  </si>
  <si>
    <t>Kyungpook National University</t>
  </si>
  <si>
    <t>경북대</t>
  </si>
  <si>
    <t>U_72</t>
  </si>
  <si>
    <t>Myongji University</t>
  </si>
  <si>
    <t>명지대</t>
  </si>
  <si>
    <t>U_75</t>
  </si>
  <si>
    <t>Pusan National University</t>
  </si>
  <si>
    <t>부산대</t>
  </si>
  <si>
    <t>U_77</t>
  </si>
  <si>
    <t>PUKYONG NATIONAL UNIVERSITY</t>
  </si>
  <si>
    <t>국립부경대</t>
  </si>
  <si>
    <t>U_8</t>
  </si>
  <si>
    <t>Gyeongsang National University</t>
  </si>
  <si>
    <t>경상국립대</t>
  </si>
  <si>
    <t>U_81</t>
  </si>
  <si>
    <t>Sangmyung University</t>
  </si>
  <si>
    <t>상명대</t>
  </si>
  <si>
    <t>U_82</t>
  </si>
  <si>
    <t>Sejong University</t>
  </si>
  <si>
    <t>세종대</t>
  </si>
  <si>
    <t>U_85</t>
  </si>
  <si>
    <t>University of Seoul</t>
  </si>
  <si>
    <t>U_89</t>
  </si>
  <si>
    <t>Sogang University</t>
  </si>
  <si>
    <t>서강대</t>
  </si>
  <si>
    <t>U_9</t>
  </si>
  <si>
    <t>Yonsei University</t>
  </si>
  <si>
    <t>연세대(서울)</t>
  </si>
  <si>
    <t>U_90</t>
  </si>
  <si>
    <t>Sookmyung Women's University</t>
  </si>
  <si>
    <t>숙명여대</t>
  </si>
  <si>
    <t>U_91</t>
  </si>
  <si>
    <t>Soongsil University</t>
  </si>
  <si>
    <t>숭실대</t>
  </si>
  <si>
    <t>U_92</t>
  </si>
  <si>
    <t>Sungkyunkwan University</t>
  </si>
  <si>
    <t>성균관대</t>
  </si>
  <si>
    <t>U_98</t>
  </si>
  <si>
    <t>University of Ulsan</t>
  </si>
  <si>
    <t>울산대</t>
  </si>
  <si>
    <t>Publications_국제협업</t>
  </si>
  <si>
    <t>국제협업 논문</t>
  </si>
  <si>
    <t>가톨릭대</t>
  </si>
  <si>
    <t>국립한국교통대</t>
  </si>
  <si>
    <t>국립강릉원주대</t>
  </si>
  <si>
    <t>-</t>
  </si>
  <si>
    <t>기본정보</t>
  </si>
  <si>
    <t>대학명(영문)</t>
  </si>
  <si>
    <t>인문_논문수</t>
  </si>
  <si>
    <t>사회_논문수</t>
  </si>
  <si>
    <t>체육_논문수</t>
  </si>
  <si>
    <t>총_논문수</t>
  </si>
  <si>
    <t>Score_인문</t>
  </si>
  <si>
    <t>Score_사회</t>
  </si>
  <si>
    <t>Score_체육</t>
  </si>
  <si>
    <t>순위</t>
  </si>
  <si>
    <t>실값</t>
  </si>
  <si>
    <t>Z값</t>
  </si>
  <si>
    <t>점수</t>
  </si>
  <si>
    <t>서울시립대</t>
  </si>
  <si>
    <t>University of Seoul</t>
    <phoneticPr fontId="1" type="noConversion"/>
  </si>
  <si>
    <t>서울시립대</t>
    <phoneticPr fontId="1" type="noConversion"/>
  </si>
  <si>
    <t>논문수 · 비율</t>
  </si>
  <si>
    <t>Avg Citations×JR</t>
  </si>
  <si>
    <t>분야별 Score</t>
  </si>
  <si>
    <t>P_인문</t>
  </si>
  <si>
    <t>P_사회</t>
  </si>
  <si>
    <t>P_체육</t>
  </si>
  <si>
    <t>Avg_인문</t>
  </si>
  <si>
    <t>Avg_사회</t>
  </si>
  <si>
    <t>Avg_체육</t>
  </si>
  <si>
    <t>[기준값]</t>
  </si>
  <si>
    <t>전체평균 · Z기준: 명지대 제외</t>
  </si>
  <si>
    <t>대학명(한글)</t>
  </si>
  <si>
    <t>최종 수치</t>
    <phoneticPr fontId="1" type="noConversion"/>
  </si>
  <si>
    <t/>
  </si>
  <si>
    <t>분야별 Z·Score</t>
  </si>
  <si>
    <t>국제학술지 논문당 피인용(2026. 5. 기준)</t>
    <phoneticPr fontId="1" type="noConversion"/>
  </si>
  <si>
    <t>국제협업논문(2026. 5. 기준)</t>
    <phoneticPr fontId="1" type="noConversion"/>
  </si>
  <si>
    <t>인문사회 국내논문당 피인용 수치(2026.5 기준)</t>
    <phoneticPr fontId="1" type="noConversion"/>
  </si>
  <si>
    <t>국제학술지 논문당 피인용
(중앙일보 2025.11 공시)</t>
    <phoneticPr fontId="1" type="noConversion"/>
  </si>
  <si>
    <t>국제협업논문
(중앙일보 2025.11 공시)</t>
    <phoneticPr fontId="1" type="noConversion"/>
  </si>
  <si>
    <t>중앙일보(2025.11. 공시)</t>
    <phoneticPr fontId="1" type="noConversion"/>
  </si>
  <si>
    <t>Average of FWCI times JoongAng 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</si>
</sst>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0.0000"/>
    <numFmt numFmtId="178" formatCode="0.000000000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i/>
      <sz val="9"/>
      <color rgb="FF595959"/>
      <name val="맑은 고딕"/>
      <family val="3"/>
      <charset val="129"/>
      <scheme val="minor"/>
    </font>
    <font>
      <b/>
      <i/>
      <sz val="9"/>
      <color rgb="FF595959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7FBFF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medium">
        <color rgb="FF1F4E79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1F4E79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1F4E79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1F4E79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BDD7EE"/>
      </left>
      <right style="thin">
        <color indexed="64"/>
      </right>
      <top/>
      <bottom style="thin">
        <color rgb="FFBDD7EE"/>
      </bottom>
      <diagonal/>
    </border>
    <border>
      <left style="thin">
        <color rgb="FFBDD7EE"/>
      </left>
      <right style="thin">
        <color indexed="64"/>
      </right>
      <top style="thin">
        <color rgb="FFBDD7EE"/>
      </top>
      <bottom style="thin">
        <color rgb="FFBDD7EE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10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3" fontId="8" fillId="7" borderId="1" xfId="0" applyNumberFormat="1" applyFont="1" applyFill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3" fontId="7" fillId="7" borderId="2" xfId="0" applyNumberFormat="1" applyFont="1" applyFill="1" applyBorder="1" applyAlignment="1">
      <alignment horizontal="center" vertical="center" wrapText="1"/>
    </xf>
    <xf numFmtId="3" fontId="8" fillId="7" borderId="2" xfId="0" applyNumberFormat="1" applyFont="1" applyFill="1" applyBorder="1" applyAlignment="1">
      <alignment horizontal="center" vertical="center" wrapText="1"/>
    </xf>
    <xf numFmtId="0" fontId="3" fillId="0" borderId="0" xfId="1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176" fontId="10" fillId="5" borderId="2" xfId="0" applyNumberFormat="1" applyFont="1" applyFill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176" fontId="10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right" vertical="center"/>
    </xf>
    <xf numFmtId="0" fontId="5" fillId="6" borderId="1" xfId="0" applyNumberFormat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0" fontId="10" fillId="5" borderId="2" xfId="1" applyNumberFormat="1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left" vertical="center"/>
    </xf>
    <xf numFmtId="177" fontId="14" fillId="12" borderId="4" xfId="0" applyNumberFormat="1" applyFont="1" applyFill="1" applyBorder="1" applyAlignment="1">
      <alignment horizontal="right" vertical="center"/>
    </xf>
    <xf numFmtId="177" fontId="14" fillId="10" borderId="4" xfId="0" applyNumberFormat="1" applyFont="1" applyFill="1" applyBorder="1" applyAlignment="1">
      <alignment horizontal="right" vertical="center"/>
    </xf>
    <xf numFmtId="0" fontId="14" fillId="13" borderId="3" xfId="0" applyFont="1" applyFill="1" applyBorder="1" applyAlignment="1">
      <alignment horizontal="left" vertical="center"/>
    </xf>
    <xf numFmtId="177" fontId="14" fillId="13" borderId="4" xfId="0" applyNumberFormat="1" applyFont="1" applyFill="1" applyBorder="1" applyAlignment="1">
      <alignment horizontal="right" vertical="center"/>
    </xf>
    <xf numFmtId="0" fontId="16" fillId="13" borderId="3" xfId="0" applyFont="1" applyFill="1" applyBorder="1" applyAlignment="1">
      <alignment horizontal="left" vertical="center"/>
    </xf>
    <xf numFmtId="177" fontId="16" fillId="13" borderId="4" xfId="0" applyNumberFormat="1" applyFont="1" applyFill="1" applyBorder="1" applyAlignment="1">
      <alignment horizontal="right" vertical="center"/>
    </xf>
    <xf numFmtId="177" fontId="16" fillId="10" borderId="4" xfId="0" applyNumberFormat="1" applyFont="1" applyFill="1" applyBorder="1" applyAlignment="1">
      <alignment horizontal="right" vertical="center"/>
    </xf>
    <xf numFmtId="0" fontId="14" fillId="12" borderId="1" xfId="0" applyFont="1" applyFill="1" applyBorder="1" applyAlignment="1">
      <alignment horizontal="left" vertical="center"/>
    </xf>
    <xf numFmtId="176" fontId="15" fillId="11" borderId="1" xfId="0" applyNumberFormat="1" applyFont="1" applyFill="1" applyBorder="1" applyAlignment="1">
      <alignment horizontal="right" vertical="center"/>
    </xf>
    <xf numFmtId="1" fontId="15" fillId="11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176" fontId="16" fillId="11" borderId="1" xfId="0" applyNumberFormat="1" applyFont="1" applyFill="1" applyBorder="1" applyAlignment="1">
      <alignment horizontal="right" vertical="center"/>
    </xf>
    <xf numFmtId="1" fontId="16" fillId="11" borderId="1" xfId="0" applyNumberFormat="1" applyFont="1" applyFill="1" applyBorder="1" applyAlignment="1">
      <alignment horizontal="center" vertical="center"/>
    </xf>
    <xf numFmtId="3" fontId="14" fillId="12" borderId="7" xfId="0" applyNumberFormat="1" applyFont="1" applyFill="1" applyBorder="1" applyAlignment="1">
      <alignment horizontal="center" vertical="center"/>
    </xf>
    <xf numFmtId="3" fontId="14" fillId="13" borderId="7" xfId="0" applyNumberFormat="1" applyFont="1" applyFill="1" applyBorder="1" applyAlignment="1">
      <alignment horizontal="center" vertical="center"/>
    </xf>
    <xf numFmtId="3" fontId="16" fillId="13" borderId="7" xfId="0" applyNumberFormat="1" applyFont="1" applyFill="1" applyBorder="1" applyAlignment="1">
      <alignment horizontal="center" vertical="center"/>
    </xf>
    <xf numFmtId="3" fontId="14" fillId="12" borderId="3" xfId="0" applyNumberFormat="1" applyFont="1" applyFill="1" applyBorder="1" applyAlignment="1">
      <alignment horizontal="center" vertical="center"/>
    </xf>
    <xf numFmtId="3" fontId="14" fillId="13" borderId="3" xfId="0" applyNumberFormat="1" applyFont="1" applyFill="1" applyBorder="1" applyAlignment="1">
      <alignment horizontal="center" vertical="center"/>
    </xf>
    <xf numFmtId="3" fontId="16" fillId="13" borderId="3" xfId="0" applyNumberFormat="1" applyFont="1" applyFill="1" applyBorder="1" applyAlignment="1">
      <alignment horizontal="center" vertical="center"/>
    </xf>
    <xf numFmtId="177" fontId="14" fillId="12" borderId="3" xfId="0" applyNumberFormat="1" applyFont="1" applyFill="1" applyBorder="1" applyAlignment="1">
      <alignment horizontal="right" vertical="center"/>
    </xf>
    <xf numFmtId="177" fontId="14" fillId="13" borderId="3" xfId="0" applyNumberFormat="1" applyFont="1" applyFill="1" applyBorder="1" applyAlignment="1">
      <alignment horizontal="right" vertical="center"/>
    </xf>
    <xf numFmtId="177" fontId="16" fillId="13" borderId="3" xfId="0" applyNumberFormat="1" applyFont="1" applyFill="1" applyBorder="1" applyAlignment="1">
      <alignment horizontal="right" vertical="center"/>
    </xf>
    <xf numFmtId="177" fontId="14" fillId="10" borderId="3" xfId="0" applyNumberFormat="1" applyFont="1" applyFill="1" applyBorder="1" applyAlignment="1">
      <alignment horizontal="right" vertical="center"/>
    </xf>
    <xf numFmtId="177" fontId="16" fillId="10" borderId="3" xfId="0" applyNumberFormat="1" applyFont="1" applyFill="1" applyBorder="1" applyAlignment="1">
      <alignment horizontal="right" vertical="center"/>
    </xf>
    <xf numFmtId="176" fontId="14" fillId="10" borderId="7" xfId="0" applyNumberFormat="1" applyFont="1" applyFill="1" applyBorder="1" applyAlignment="1">
      <alignment horizontal="right" vertical="center"/>
    </xf>
    <xf numFmtId="176" fontId="16" fillId="10" borderId="7" xfId="0" applyNumberFormat="1" applyFont="1" applyFill="1" applyBorder="1" applyAlignment="1">
      <alignment horizontal="right" vertical="center"/>
    </xf>
    <xf numFmtId="176" fontId="15" fillId="10" borderId="3" xfId="0" applyNumberFormat="1" applyFont="1" applyFill="1" applyBorder="1" applyAlignment="1">
      <alignment horizontal="right" vertical="center"/>
    </xf>
    <xf numFmtId="176" fontId="16" fillId="10" borderId="3" xfId="0" applyNumberFormat="1" applyFont="1" applyFill="1" applyBorder="1" applyAlignment="1">
      <alignment horizontal="right" vertical="center"/>
    </xf>
    <xf numFmtId="176" fontId="14" fillId="11" borderId="7" xfId="0" applyNumberFormat="1" applyFont="1" applyFill="1" applyBorder="1" applyAlignment="1">
      <alignment horizontal="right" vertical="center"/>
    </xf>
    <xf numFmtId="176" fontId="16" fillId="11" borderId="7" xfId="0" applyNumberFormat="1" applyFont="1" applyFill="1" applyBorder="1" applyAlignment="1">
      <alignment horizontal="right" vertical="center"/>
    </xf>
    <xf numFmtId="3" fontId="14" fillId="12" borderId="8" xfId="0" applyNumberFormat="1" applyFont="1" applyFill="1" applyBorder="1" applyAlignment="1">
      <alignment horizontal="center" vertical="center"/>
    </xf>
    <xf numFmtId="3" fontId="14" fillId="13" borderId="8" xfId="0" applyNumberFormat="1" applyFont="1" applyFill="1" applyBorder="1" applyAlignment="1">
      <alignment horizontal="center" vertical="center"/>
    </xf>
    <xf numFmtId="3" fontId="16" fillId="13" borderId="8" xfId="0" applyNumberFormat="1" applyFont="1" applyFill="1" applyBorder="1" applyAlignment="1">
      <alignment horizontal="center" vertical="center"/>
    </xf>
    <xf numFmtId="177" fontId="14" fillId="12" borderId="8" xfId="0" applyNumberFormat="1" applyFont="1" applyFill="1" applyBorder="1" applyAlignment="1">
      <alignment horizontal="right" vertical="center"/>
    </xf>
    <xf numFmtId="177" fontId="14" fillId="13" borderId="8" xfId="0" applyNumberFormat="1" applyFont="1" applyFill="1" applyBorder="1" applyAlignment="1">
      <alignment horizontal="right" vertical="center"/>
    </xf>
    <xf numFmtId="177" fontId="16" fillId="13" borderId="8" xfId="0" applyNumberFormat="1" applyFont="1" applyFill="1" applyBorder="1" applyAlignment="1">
      <alignment horizontal="right" vertical="center"/>
    </xf>
    <xf numFmtId="177" fontId="14" fillId="10" borderId="8" xfId="0" applyNumberFormat="1" applyFont="1" applyFill="1" applyBorder="1" applyAlignment="1">
      <alignment horizontal="right" vertical="center"/>
    </xf>
    <xf numFmtId="177" fontId="16" fillId="10" borderId="8" xfId="0" applyNumberFormat="1" applyFont="1" applyFill="1" applyBorder="1" applyAlignment="1">
      <alignment horizontal="right" vertical="center"/>
    </xf>
    <xf numFmtId="176" fontId="14" fillId="10" borderId="8" xfId="0" applyNumberFormat="1" applyFont="1" applyFill="1" applyBorder="1" applyAlignment="1">
      <alignment horizontal="right" vertical="center"/>
    </xf>
    <xf numFmtId="176" fontId="16" fillId="10" borderId="8" xfId="0" applyNumberFormat="1" applyFont="1" applyFill="1" applyBorder="1" applyAlignment="1">
      <alignment horizontal="right" vertical="center"/>
    </xf>
    <xf numFmtId="0" fontId="13" fillId="8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right" vertical="center"/>
    </xf>
    <xf numFmtId="0" fontId="18" fillId="11" borderId="0" xfId="0" applyFont="1" applyFill="1" applyAlignment="1">
      <alignment horizontal="left" vertical="center"/>
    </xf>
    <xf numFmtId="176" fontId="17" fillId="11" borderId="0" xfId="0" applyNumberFormat="1" applyFont="1" applyFill="1" applyAlignment="1">
      <alignment horizontal="right" vertical="center"/>
    </xf>
    <xf numFmtId="0" fontId="4" fillId="15" borderId="0" xfId="0" applyFont="1" applyFill="1" applyBorder="1" applyAlignment="1">
      <alignment vertical="center" wrapText="1"/>
    </xf>
    <xf numFmtId="0" fontId="4" fillId="15" borderId="1" xfId="0" applyNumberFormat="1" applyFont="1" applyFill="1" applyBorder="1" applyAlignment="1">
      <alignment horizontal="center" vertical="center" wrapText="1"/>
    </xf>
    <xf numFmtId="0" fontId="11" fillId="15" borderId="0" xfId="0" applyFont="1" applyFill="1" applyAlignment="1">
      <alignment vertical="center"/>
    </xf>
    <xf numFmtId="0" fontId="13" fillId="15" borderId="7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15" borderId="11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1" fontId="15" fillId="10" borderId="19" xfId="0" applyNumberFormat="1" applyFont="1" applyFill="1" applyBorder="1" applyAlignment="1">
      <alignment horizontal="center" vertical="center"/>
    </xf>
    <xf numFmtId="1" fontId="16" fillId="10" borderId="19" xfId="0" applyNumberFormat="1" applyFont="1" applyFill="1" applyBorder="1" applyAlignment="1">
      <alignment horizontal="center" vertical="center"/>
    </xf>
    <xf numFmtId="0" fontId="17" fillId="11" borderId="17" xfId="0" applyFont="1" applyFill="1" applyBorder="1" applyAlignment="1">
      <alignment horizontal="right" vertical="center"/>
    </xf>
    <xf numFmtId="0" fontId="0" fillId="0" borderId="17" xfId="0" applyBorder="1" applyAlignment="1">
      <alignment vertical="center"/>
    </xf>
    <xf numFmtId="178" fontId="5" fillId="5" borderId="2" xfId="1" applyNumberFormat="1" applyFont="1" applyFill="1" applyBorder="1" applyAlignment="1">
      <alignment horizontal="center" vertical="center" wrapText="1"/>
    </xf>
    <xf numFmtId="0" fontId="19" fillId="14" borderId="5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0" fontId="20" fillId="16" borderId="15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9" fillId="14" borderId="5" xfId="0" applyFont="1" applyFill="1" applyBorder="1" applyAlignment="1">
      <alignment vertical="center"/>
    </xf>
    <xf numFmtId="0" fontId="0" fillId="0" borderId="0" xfId="0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8D1808-032C-4ABC-AE7A-E5057DB9E06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78befd0-7ad7-4b6f-8284-863be7b5c53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8F30-83C7-4BFD-9627-7CFAA048865B}">
  <dimension ref="A1:I55"/>
  <sheetViews>
    <sheetView tabSelected="1" workbookViewId="0">
      <selection activeCell="D8" sqref="D8"/>
    </sheetView>
  </sheetViews>
  <sheetFormatPr defaultRowHeight="16.5" x14ac:dyDescent="0.3"/>
  <cols>
    <col min="1" max="1" width="14" style="107" bestFit="1" customWidth="1"/>
    <col min="2" max="3" width="12" style="107" customWidth="1"/>
    <col min="4" max="4" width="10" style="107" customWidth="1"/>
    <col min="5" max="6" width="12.125" style="107" bestFit="1" customWidth="1"/>
    <col min="7" max="7" width="12" style="107" customWidth="1"/>
    <col min="8" max="8" width="10" style="107" customWidth="1"/>
    <col min="9" max="9" width="9" style="107"/>
  </cols>
  <sheetData>
    <row r="1" spans="1:6" x14ac:dyDescent="0.3">
      <c r="A1" s="107" t="s">
        <v>2</v>
      </c>
      <c r="B1" s="107" t="s">
        <v>3</v>
      </c>
      <c r="C1" s="107" t="s">
        <v>6</v>
      </c>
      <c r="D1" s="107" t="s">
        <v>7</v>
      </c>
      <c r="E1" s="107" t="s">
        <v>4</v>
      </c>
      <c r="F1" s="107" t="s">
        <v>5</v>
      </c>
    </row>
    <row r="2" spans="1:6" x14ac:dyDescent="0.3">
      <c r="A2" s="107" t="s">
        <v>35</v>
      </c>
      <c r="B2" s="107">
        <v>39091</v>
      </c>
      <c r="C2" s="107">
        <v>769902</v>
      </c>
      <c r="D2" s="107">
        <v>1.6652720581429179</v>
      </c>
      <c r="E2" s="107">
        <v>16496</v>
      </c>
      <c r="F2" s="107">
        <v>6521</v>
      </c>
    </row>
    <row r="3" spans="1:6" x14ac:dyDescent="0.3">
      <c r="A3" s="107" t="s">
        <v>157</v>
      </c>
      <c r="B3" s="107">
        <v>27356</v>
      </c>
      <c r="C3" s="107">
        <v>572961</v>
      </c>
      <c r="D3" s="107">
        <v>1.8675918042602431</v>
      </c>
      <c r="E3" s="107">
        <v>12940</v>
      </c>
      <c r="F3" s="107">
        <v>5401</v>
      </c>
    </row>
    <row r="4" spans="1:6" x14ac:dyDescent="0.3">
      <c r="A4" s="107" t="s">
        <v>122</v>
      </c>
      <c r="B4" s="107">
        <v>21595</v>
      </c>
      <c r="C4" s="107">
        <v>408585</v>
      </c>
      <c r="D4" s="107">
        <v>1.505436936498006</v>
      </c>
      <c r="E4" s="107">
        <v>10381</v>
      </c>
      <c r="F4" s="107">
        <v>3980</v>
      </c>
    </row>
    <row r="5" spans="1:6" x14ac:dyDescent="0.3">
      <c r="A5" s="107" t="s">
        <v>166</v>
      </c>
      <c r="B5" s="107">
        <v>19988</v>
      </c>
      <c r="C5" s="107">
        <v>386194</v>
      </c>
      <c r="D5" s="107">
        <v>1.6627383937793441</v>
      </c>
      <c r="E5" s="107">
        <v>9134</v>
      </c>
      <c r="F5" s="107">
        <v>3591</v>
      </c>
    </row>
    <row r="6" spans="1:6" x14ac:dyDescent="0.3">
      <c r="A6" s="107" t="s">
        <v>23</v>
      </c>
      <c r="B6" s="107">
        <v>12734</v>
      </c>
      <c r="C6" s="107">
        <v>229232</v>
      </c>
      <c r="D6" s="107">
        <v>1.603633132434531</v>
      </c>
      <c r="E6" s="107">
        <v>5836</v>
      </c>
      <c r="F6" s="107">
        <v>2199</v>
      </c>
    </row>
    <row r="7" spans="1:6" x14ac:dyDescent="0.3">
      <c r="A7" s="107" t="s">
        <v>137</v>
      </c>
      <c r="B7" s="107">
        <v>11818</v>
      </c>
      <c r="C7" s="107">
        <v>173325</v>
      </c>
      <c r="D7" s="107">
        <v>1.319746715664917</v>
      </c>
      <c r="E7" s="107">
        <v>4521</v>
      </c>
      <c r="F7" s="107">
        <v>1663</v>
      </c>
    </row>
    <row r="8" spans="1:6" x14ac:dyDescent="0.3">
      <c r="A8" s="107" t="s">
        <v>92</v>
      </c>
      <c r="B8" s="107">
        <v>11607</v>
      </c>
      <c r="C8" s="107">
        <v>219422</v>
      </c>
      <c r="D8" s="107">
        <v>1.529407299110465</v>
      </c>
      <c r="E8" s="107">
        <v>5574</v>
      </c>
      <c r="F8" s="107">
        <v>2167</v>
      </c>
    </row>
    <row r="9" spans="1:6" x14ac:dyDescent="0.3">
      <c r="A9" s="107" t="s">
        <v>131</v>
      </c>
      <c r="B9" s="107">
        <v>11383</v>
      </c>
      <c r="C9" s="107">
        <v>171173</v>
      </c>
      <c r="D9" s="107">
        <v>1.23444617562193</v>
      </c>
      <c r="E9" s="107">
        <v>4245</v>
      </c>
      <c r="F9" s="107">
        <v>1574</v>
      </c>
    </row>
    <row r="10" spans="1:6" x14ac:dyDescent="0.3">
      <c r="A10" s="107" t="s">
        <v>169</v>
      </c>
      <c r="B10" s="107">
        <v>10204</v>
      </c>
      <c r="C10" s="107">
        <v>185425</v>
      </c>
      <c r="D10" s="107">
        <v>1.6424201842118531</v>
      </c>
      <c r="E10" s="107">
        <v>3918</v>
      </c>
      <c r="F10" s="107">
        <v>1693</v>
      </c>
    </row>
    <row r="11" spans="1:6" x14ac:dyDescent="0.3">
      <c r="A11" s="107" t="s">
        <v>10</v>
      </c>
      <c r="B11" s="107">
        <v>10075</v>
      </c>
      <c r="C11" s="107">
        <v>128868</v>
      </c>
      <c r="D11" s="107">
        <v>1.282325539695788</v>
      </c>
      <c r="E11" s="107">
        <v>3455</v>
      </c>
      <c r="F11" s="107">
        <v>1389</v>
      </c>
    </row>
    <row r="12" spans="1:6" x14ac:dyDescent="0.3">
      <c r="A12" s="107" t="s">
        <v>65</v>
      </c>
      <c r="B12" s="107">
        <v>9295</v>
      </c>
      <c r="C12" s="107">
        <v>133007</v>
      </c>
      <c r="D12" s="107">
        <v>1.185244052271214</v>
      </c>
      <c r="E12" s="107">
        <v>3548</v>
      </c>
      <c r="F12" s="107">
        <v>1247</v>
      </c>
    </row>
    <row r="13" spans="1:6" x14ac:dyDescent="0.3">
      <c r="A13" s="107" t="s">
        <v>44</v>
      </c>
      <c r="B13" s="107">
        <v>9190</v>
      </c>
      <c r="C13" s="107">
        <v>142133</v>
      </c>
      <c r="D13" s="107">
        <v>1.3865804566881159</v>
      </c>
      <c r="E13" s="107">
        <v>3913</v>
      </c>
      <c r="F13" s="107">
        <v>1523</v>
      </c>
    </row>
    <row r="14" spans="1:6" x14ac:dyDescent="0.3">
      <c r="A14" s="107" t="s">
        <v>80</v>
      </c>
      <c r="B14" s="107">
        <v>8689</v>
      </c>
      <c r="C14" s="107">
        <v>113478</v>
      </c>
      <c r="D14" s="107">
        <v>1.1000625875933161</v>
      </c>
      <c r="E14" s="107">
        <v>3167</v>
      </c>
      <c r="F14" s="107">
        <v>1094</v>
      </c>
    </row>
    <row r="15" spans="1:6" x14ac:dyDescent="0.3">
      <c r="A15" s="107" t="s">
        <v>17</v>
      </c>
      <c r="B15" s="107">
        <v>7298</v>
      </c>
      <c r="C15" s="107">
        <v>148231</v>
      </c>
      <c r="D15" s="107">
        <v>1.827889983132114</v>
      </c>
      <c r="E15" s="107">
        <v>2791</v>
      </c>
      <c r="F15" s="107">
        <v>1748</v>
      </c>
    </row>
    <row r="16" spans="1:6" x14ac:dyDescent="0.3">
      <c r="A16" s="107" t="s">
        <v>101</v>
      </c>
      <c r="B16" s="107">
        <v>6868</v>
      </c>
      <c r="C16" s="107">
        <v>113849</v>
      </c>
      <c r="D16" s="107">
        <v>1.725297215958514</v>
      </c>
      <c r="E16" s="107">
        <v>2871</v>
      </c>
      <c r="F16" s="107">
        <v>1123</v>
      </c>
    </row>
    <row r="17" spans="1:6" x14ac:dyDescent="0.3">
      <c r="A17" s="107" t="s">
        <v>38</v>
      </c>
      <c r="B17" s="107">
        <v>6691</v>
      </c>
      <c r="C17" s="107">
        <v>107855</v>
      </c>
      <c r="D17" s="107">
        <v>1.4823714115127571</v>
      </c>
      <c r="E17" s="107">
        <v>2592</v>
      </c>
      <c r="F17" s="107">
        <v>1157</v>
      </c>
    </row>
    <row r="18" spans="1:6" x14ac:dyDescent="0.3">
      <c r="A18" s="107" t="s">
        <v>149</v>
      </c>
      <c r="B18" s="107">
        <v>6498</v>
      </c>
      <c r="C18" s="107">
        <v>178088</v>
      </c>
      <c r="D18" s="107">
        <v>2.3831190718518478</v>
      </c>
      <c r="E18" s="107">
        <v>3488</v>
      </c>
      <c r="F18" s="107">
        <v>1811</v>
      </c>
    </row>
    <row r="19" spans="1:6" x14ac:dyDescent="0.3">
      <c r="A19" s="107" t="s">
        <v>119</v>
      </c>
      <c r="B19" s="107">
        <v>6166</v>
      </c>
      <c r="C19" s="107">
        <v>101804</v>
      </c>
      <c r="D19" s="107">
        <v>1.3028309499621971</v>
      </c>
      <c r="E19" s="107">
        <v>2413</v>
      </c>
      <c r="F19" s="107">
        <v>974</v>
      </c>
    </row>
    <row r="20" spans="1:6" x14ac:dyDescent="0.3">
      <c r="A20" s="107" t="s">
        <v>143</v>
      </c>
      <c r="B20" s="107">
        <v>5984</v>
      </c>
      <c r="C20" s="107">
        <v>85232</v>
      </c>
      <c r="D20" s="107">
        <v>1.269184481636447</v>
      </c>
      <c r="E20" s="107">
        <v>2297</v>
      </c>
      <c r="F20" s="107">
        <v>810</v>
      </c>
    </row>
    <row r="21" spans="1:6" x14ac:dyDescent="0.3">
      <c r="A21" s="107" t="s">
        <v>50</v>
      </c>
      <c r="B21" s="107">
        <v>5776</v>
      </c>
      <c r="C21" s="107">
        <v>95719</v>
      </c>
      <c r="D21" s="107">
        <v>1.495316851357839</v>
      </c>
      <c r="E21" s="107">
        <v>2493</v>
      </c>
      <c r="F21" s="107">
        <v>915</v>
      </c>
    </row>
    <row r="22" spans="1:6" x14ac:dyDescent="0.3">
      <c r="A22" s="107" t="s">
        <v>107</v>
      </c>
      <c r="B22" s="107">
        <v>5761</v>
      </c>
      <c r="C22" s="107">
        <v>81028</v>
      </c>
      <c r="D22" s="107">
        <v>1.3970166960337671</v>
      </c>
      <c r="E22" s="107">
        <v>2030</v>
      </c>
      <c r="F22" s="107">
        <v>755</v>
      </c>
    </row>
    <row r="23" spans="1:6" x14ac:dyDescent="0.3">
      <c r="A23" s="107" t="s">
        <v>41</v>
      </c>
      <c r="B23" s="107">
        <v>5622</v>
      </c>
      <c r="C23" s="107">
        <v>71336</v>
      </c>
      <c r="D23" s="107">
        <v>1.4995090545816741</v>
      </c>
      <c r="E23" s="107">
        <v>2025</v>
      </c>
      <c r="F23" s="107">
        <v>763</v>
      </c>
    </row>
    <row r="24" spans="1:6" x14ac:dyDescent="0.3">
      <c r="A24" s="107" t="s">
        <v>71</v>
      </c>
      <c r="B24" s="107">
        <v>5539</v>
      </c>
      <c r="C24" s="107">
        <v>81675</v>
      </c>
      <c r="D24" s="107">
        <v>1.51118768694084</v>
      </c>
      <c r="E24" s="107">
        <v>2004</v>
      </c>
      <c r="F24" s="107">
        <v>721</v>
      </c>
    </row>
    <row r="25" spans="1:6" x14ac:dyDescent="0.3">
      <c r="A25" s="107" t="s">
        <v>110</v>
      </c>
      <c r="B25" s="107">
        <v>5240</v>
      </c>
      <c r="C25" s="107">
        <v>90151</v>
      </c>
      <c r="D25" s="107">
        <v>1.282719078620199</v>
      </c>
      <c r="E25" s="107">
        <v>1966</v>
      </c>
      <c r="F25" s="107">
        <v>817</v>
      </c>
    </row>
    <row r="26" spans="1:6" x14ac:dyDescent="0.3">
      <c r="A26" s="107" t="s">
        <v>86</v>
      </c>
      <c r="B26" s="107">
        <v>5140</v>
      </c>
      <c r="C26" s="107">
        <v>94678</v>
      </c>
      <c r="D26" s="107">
        <v>1.4893517794681841</v>
      </c>
      <c r="E26" s="107">
        <v>2409</v>
      </c>
      <c r="F26" s="107">
        <v>950</v>
      </c>
    </row>
    <row r="27" spans="1:6" x14ac:dyDescent="0.3">
      <c r="A27" s="107" t="s">
        <v>62</v>
      </c>
      <c r="B27" s="107">
        <v>4830</v>
      </c>
      <c r="C27" s="107">
        <v>75546</v>
      </c>
      <c r="D27" s="107">
        <v>1.210000830130578</v>
      </c>
      <c r="E27" s="107">
        <v>1761</v>
      </c>
      <c r="F27" s="107">
        <v>685</v>
      </c>
    </row>
    <row r="28" spans="1:6" x14ac:dyDescent="0.3">
      <c r="A28" s="107" t="s">
        <v>77</v>
      </c>
      <c r="B28" s="107">
        <v>4596</v>
      </c>
      <c r="C28" s="107">
        <v>52970</v>
      </c>
      <c r="D28" s="107">
        <v>0.99982206059864576</v>
      </c>
      <c r="E28" s="107">
        <v>1581</v>
      </c>
      <c r="F28" s="107">
        <v>509</v>
      </c>
    </row>
    <row r="29" spans="1:6" x14ac:dyDescent="0.3">
      <c r="A29" s="107" t="s">
        <v>20</v>
      </c>
      <c r="B29" s="107">
        <v>4302</v>
      </c>
      <c r="C29" s="107">
        <v>52654</v>
      </c>
      <c r="D29" s="107">
        <v>1.11089493589054</v>
      </c>
      <c r="E29" s="107">
        <v>1328</v>
      </c>
      <c r="F29" s="107">
        <v>550</v>
      </c>
    </row>
    <row r="30" spans="1:6" x14ac:dyDescent="0.3">
      <c r="A30" s="107" t="s">
        <v>140</v>
      </c>
      <c r="B30" s="107">
        <v>3803</v>
      </c>
      <c r="C30" s="107">
        <v>52957</v>
      </c>
      <c r="D30" s="107">
        <v>1.109490061152355</v>
      </c>
      <c r="E30" s="107">
        <v>1333</v>
      </c>
      <c r="F30" s="107">
        <v>499</v>
      </c>
    </row>
    <row r="31" spans="1:6" x14ac:dyDescent="0.3">
      <c r="A31" s="107" t="s">
        <v>59</v>
      </c>
      <c r="B31" s="107">
        <v>3470</v>
      </c>
      <c r="C31" s="107">
        <v>46042</v>
      </c>
      <c r="D31" s="107">
        <v>1.1801716161832769</v>
      </c>
      <c r="E31" s="107">
        <v>1140</v>
      </c>
      <c r="F31" s="107">
        <v>481</v>
      </c>
    </row>
    <row r="32" spans="1:6" x14ac:dyDescent="0.3">
      <c r="A32" s="107" t="s">
        <v>14</v>
      </c>
      <c r="B32" s="107">
        <v>3380</v>
      </c>
      <c r="C32" s="107">
        <v>42612</v>
      </c>
      <c r="D32" s="107">
        <v>1.2390623575958191</v>
      </c>
      <c r="E32" s="107">
        <v>1108</v>
      </c>
      <c r="F32" s="107">
        <v>438</v>
      </c>
    </row>
    <row r="33" spans="1:6" x14ac:dyDescent="0.3">
      <c r="A33" s="107" t="s">
        <v>26</v>
      </c>
      <c r="B33" s="107">
        <v>3141</v>
      </c>
      <c r="C33" s="107">
        <v>54429</v>
      </c>
      <c r="D33" s="107">
        <v>1.622492589875439</v>
      </c>
      <c r="E33" s="107">
        <v>1417</v>
      </c>
      <c r="F33" s="107">
        <v>548</v>
      </c>
    </row>
    <row r="34" spans="1:6" x14ac:dyDescent="0.3">
      <c r="A34" s="107" t="s">
        <v>98</v>
      </c>
      <c r="B34" s="107">
        <v>2983</v>
      </c>
      <c r="C34" s="107">
        <v>44167</v>
      </c>
      <c r="D34" s="107">
        <v>1.199012944125766</v>
      </c>
      <c r="E34" s="107">
        <v>1184</v>
      </c>
      <c r="F34" s="107">
        <v>423</v>
      </c>
    </row>
    <row r="35" spans="1:6" x14ac:dyDescent="0.3">
      <c r="A35" s="107" t="s">
        <v>68</v>
      </c>
      <c r="B35" s="107">
        <v>2916</v>
      </c>
      <c r="C35" s="107">
        <v>35385</v>
      </c>
      <c r="D35" s="107">
        <v>1.0614109672529339</v>
      </c>
      <c r="E35" s="107">
        <v>831</v>
      </c>
      <c r="F35" s="107">
        <v>335</v>
      </c>
    </row>
    <row r="36" spans="1:6" x14ac:dyDescent="0.3">
      <c r="A36" s="107" t="s">
        <v>47</v>
      </c>
      <c r="B36" s="107">
        <v>2800</v>
      </c>
      <c r="C36" s="107">
        <v>38667</v>
      </c>
      <c r="D36" s="107">
        <v>1.1589419562183321</v>
      </c>
      <c r="E36" s="107">
        <v>1031</v>
      </c>
      <c r="F36" s="107">
        <v>380</v>
      </c>
    </row>
    <row r="37" spans="1:6" x14ac:dyDescent="0.3">
      <c r="A37" s="107" t="s">
        <v>191</v>
      </c>
      <c r="B37" s="107">
        <v>2565</v>
      </c>
      <c r="C37" s="107">
        <v>44250</v>
      </c>
      <c r="D37" s="107">
        <v>1.450697862641563</v>
      </c>
      <c r="E37" s="107">
        <v>1171</v>
      </c>
      <c r="F37" s="107">
        <v>413</v>
      </c>
    </row>
    <row r="38" spans="1:6" x14ac:dyDescent="0.3">
      <c r="A38" s="107" t="s">
        <v>163</v>
      </c>
      <c r="B38" s="107">
        <v>2440</v>
      </c>
      <c r="C38" s="107">
        <v>32923</v>
      </c>
      <c r="D38" s="107">
        <v>1.207019533885674</v>
      </c>
      <c r="E38" s="107">
        <v>997</v>
      </c>
      <c r="F38" s="107">
        <v>348</v>
      </c>
    </row>
    <row r="39" spans="1:6" x14ac:dyDescent="0.3">
      <c r="A39" s="107" t="s">
        <v>29</v>
      </c>
      <c r="B39" s="107">
        <v>2174</v>
      </c>
      <c r="C39" s="107">
        <v>23803</v>
      </c>
      <c r="D39" s="107">
        <v>1.0537566166240879</v>
      </c>
      <c r="E39" s="107">
        <v>653</v>
      </c>
      <c r="F39" s="107">
        <v>232</v>
      </c>
    </row>
    <row r="40" spans="1:6" x14ac:dyDescent="0.3">
      <c r="A40" s="107" t="s">
        <v>154</v>
      </c>
      <c r="B40" s="107">
        <v>2163</v>
      </c>
      <c r="C40" s="107">
        <v>30983</v>
      </c>
      <c r="D40" s="107">
        <v>1.174648207865941</v>
      </c>
      <c r="E40" s="107">
        <v>966</v>
      </c>
      <c r="F40" s="107">
        <v>309</v>
      </c>
    </row>
    <row r="41" spans="1:6" x14ac:dyDescent="0.3">
      <c r="A41" s="107" t="s">
        <v>32</v>
      </c>
      <c r="B41" s="107">
        <v>2051</v>
      </c>
      <c r="C41" s="107">
        <v>26394</v>
      </c>
      <c r="D41" s="107">
        <v>1.2694687180190201</v>
      </c>
      <c r="E41" s="107">
        <v>719</v>
      </c>
      <c r="F41" s="107">
        <v>283</v>
      </c>
    </row>
    <row r="42" spans="1:6" x14ac:dyDescent="0.3">
      <c r="A42" s="107" t="s">
        <v>116</v>
      </c>
      <c r="B42" s="107">
        <v>2050</v>
      </c>
      <c r="C42" s="107">
        <v>26977</v>
      </c>
      <c r="D42" s="107">
        <v>1.030108889065138</v>
      </c>
      <c r="E42" s="107">
        <v>767</v>
      </c>
      <c r="F42" s="107">
        <v>248</v>
      </c>
    </row>
    <row r="43" spans="1:6" x14ac:dyDescent="0.3">
      <c r="A43" s="107" t="s">
        <v>83</v>
      </c>
      <c r="B43" s="107">
        <v>1941</v>
      </c>
      <c r="C43" s="107">
        <v>24316</v>
      </c>
      <c r="D43" s="107">
        <v>1.1280950166703441</v>
      </c>
      <c r="E43" s="107">
        <v>604</v>
      </c>
      <c r="F43" s="107">
        <v>228</v>
      </c>
    </row>
    <row r="44" spans="1:6" x14ac:dyDescent="0.3">
      <c r="A44" s="107" t="s">
        <v>125</v>
      </c>
      <c r="B44" s="107">
        <v>1800</v>
      </c>
      <c r="C44" s="107">
        <v>34137</v>
      </c>
      <c r="D44" s="107">
        <v>1.549245619759378</v>
      </c>
      <c r="E44" s="107">
        <v>774</v>
      </c>
      <c r="F44" s="107">
        <v>346</v>
      </c>
    </row>
    <row r="45" spans="1:6" x14ac:dyDescent="0.3">
      <c r="A45" s="107" t="s">
        <v>128</v>
      </c>
      <c r="B45" s="107">
        <v>1603</v>
      </c>
      <c r="C45" s="107">
        <v>24890</v>
      </c>
      <c r="D45" s="107">
        <v>1.158525542424049</v>
      </c>
      <c r="E45" s="107">
        <v>582</v>
      </c>
      <c r="F45" s="107">
        <v>239</v>
      </c>
    </row>
    <row r="46" spans="1:6" x14ac:dyDescent="0.3">
      <c r="A46" s="107" t="s">
        <v>95</v>
      </c>
      <c r="B46" s="107">
        <v>1465</v>
      </c>
      <c r="C46" s="107">
        <v>17156</v>
      </c>
      <c r="D46" s="107">
        <v>0.99579174216493405</v>
      </c>
      <c r="E46" s="107">
        <v>518</v>
      </c>
      <c r="F46" s="107">
        <v>176</v>
      </c>
    </row>
    <row r="47" spans="1:6" x14ac:dyDescent="0.3">
      <c r="A47" s="107" t="s">
        <v>56</v>
      </c>
      <c r="B47" s="107">
        <v>1382</v>
      </c>
      <c r="C47" s="107">
        <v>17055</v>
      </c>
      <c r="D47" s="107">
        <v>0.99564917055100155</v>
      </c>
      <c r="E47" s="107">
        <v>442</v>
      </c>
      <c r="F47" s="107">
        <v>167</v>
      </c>
    </row>
    <row r="48" spans="1:6" x14ac:dyDescent="0.3">
      <c r="A48" s="107" t="s">
        <v>160</v>
      </c>
      <c r="B48" s="107">
        <v>1303</v>
      </c>
      <c r="C48" s="107">
        <v>23813</v>
      </c>
      <c r="D48" s="107">
        <v>1.3513050902569099</v>
      </c>
      <c r="E48" s="107">
        <v>548</v>
      </c>
      <c r="F48" s="107">
        <v>165</v>
      </c>
    </row>
    <row r="49" spans="1:6" x14ac:dyDescent="0.3">
      <c r="A49" s="107" t="s">
        <v>89</v>
      </c>
      <c r="B49" s="107">
        <v>1279</v>
      </c>
      <c r="C49" s="107">
        <v>17046</v>
      </c>
      <c r="D49" s="107">
        <v>1.465519363842642</v>
      </c>
      <c r="E49" s="107">
        <v>532</v>
      </c>
      <c r="F49" s="107">
        <v>256</v>
      </c>
    </row>
    <row r="50" spans="1:6" x14ac:dyDescent="0.3">
      <c r="A50" s="107" t="s">
        <v>113</v>
      </c>
      <c r="B50" s="107">
        <v>1275</v>
      </c>
      <c r="C50" s="107">
        <v>14089</v>
      </c>
      <c r="D50" s="107">
        <v>1.1367811258400189</v>
      </c>
      <c r="E50" s="107">
        <v>461</v>
      </c>
      <c r="F50" s="107">
        <v>167</v>
      </c>
    </row>
    <row r="51" spans="1:6" x14ac:dyDescent="0.3">
      <c r="A51" s="107" t="s">
        <v>104</v>
      </c>
      <c r="B51" s="107">
        <v>1238</v>
      </c>
      <c r="C51" s="107">
        <v>14232</v>
      </c>
      <c r="D51" s="107">
        <v>1.0609363417061399</v>
      </c>
      <c r="E51" s="107">
        <v>505</v>
      </c>
      <c r="F51" s="107">
        <v>143</v>
      </c>
    </row>
    <row r="52" spans="1:6" x14ac:dyDescent="0.3">
      <c r="A52" s="107" t="s">
        <v>134</v>
      </c>
      <c r="B52" s="107">
        <v>1126</v>
      </c>
      <c r="C52" s="107">
        <v>15246</v>
      </c>
      <c r="D52" s="107">
        <v>1.26297668521797</v>
      </c>
      <c r="E52" s="107">
        <v>409</v>
      </c>
      <c r="F52" s="107">
        <v>136</v>
      </c>
    </row>
    <row r="53" spans="1:6" x14ac:dyDescent="0.3">
      <c r="A53" s="107" t="s">
        <v>53</v>
      </c>
      <c r="B53" s="107">
        <v>1111</v>
      </c>
      <c r="C53" s="107">
        <v>13019</v>
      </c>
      <c r="D53" s="107">
        <v>0.95587830063421697</v>
      </c>
      <c r="E53" s="107">
        <v>419</v>
      </c>
      <c r="F53" s="107">
        <v>97</v>
      </c>
    </row>
    <row r="54" spans="1:6" x14ac:dyDescent="0.3">
      <c r="A54" s="107" t="s">
        <v>74</v>
      </c>
      <c r="B54" s="107">
        <v>1033</v>
      </c>
      <c r="C54" s="107">
        <v>14811</v>
      </c>
      <c r="D54" s="107">
        <v>1.167719775224817</v>
      </c>
      <c r="E54" s="107">
        <v>366</v>
      </c>
      <c r="F54" s="107">
        <v>130</v>
      </c>
    </row>
    <row r="55" spans="1:6" x14ac:dyDescent="0.3">
      <c r="A55" s="107" t="s">
        <v>146</v>
      </c>
      <c r="B55" s="107">
        <v>910</v>
      </c>
      <c r="C55" s="107">
        <v>12663</v>
      </c>
      <c r="D55" s="107">
        <v>1.3642245582089969</v>
      </c>
      <c r="E55" s="107">
        <v>272</v>
      </c>
      <c r="F55" s="107">
        <v>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56"/>
  <sheetViews>
    <sheetView workbookViewId="0">
      <pane xSplit="3" ySplit="2" topLeftCell="D3" activePane="bottomRight" state="frozen"/>
      <selection activeCell="I9" sqref="I9"/>
      <selection pane="topRight" activeCell="I9" sqref="I9"/>
      <selection pane="bottomLeft" activeCell="I9" sqref="I9"/>
      <selection pane="bottomRight" activeCell="D15" sqref="D15"/>
    </sheetView>
  </sheetViews>
  <sheetFormatPr defaultRowHeight="16.5" x14ac:dyDescent="0.3"/>
  <cols>
    <col min="1" max="1" width="8" style="1" customWidth="1"/>
    <col min="2" max="2" width="40.125" style="1" bestFit="1" customWidth="1"/>
    <col min="3" max="3" width="14" style="1" bestFit="1" customWidth="1"/>
    <col min="4" max="4" width="20" style="2" bestFit="1" customWidth="1"/>
    <col min="5" max="5" width="18.375" style="2" customWidth="1"/>
  </cols>
  <sheetData>
    <row r="1" spans="1:5" ht="16.5" customHeight="1" x14ac:dyDescent="0.3">
      <c r="A1" s="106" t="s">
        <v>207</v>
      </c>
      <c r="B1" s="106"/>
      <c r="C1" s="106"/>
      <c r="D1" s="106"/>
      <c r="E1" s="79"/>
    </row>
    <row r="2" spans="1:5" s="2" customFormat="1" ht="36" customHeight="1" x14ac:dyDescent="0.3">
      <c r="A2" s="4" t="s">
        <v>0</v>
      </c>
      <c r="B2" s="4" t="s">
        <v>1</v>
      </c>
      <c r="C2" s="5" t="s">
        <v>2</v>
      </c>
      <c r="D2" s="20" t="s">
        <v>213</v>
      </c>
      <c r="E2" s="79" t="s">
        <v>210</v>
      </c>
    </row>
    <row r="3" spans="1:5" ht="15.95" customHeight="1" x14ac:dyDescent="0.3">
      <c r="A3" s="6" t="s">
        <v>33</v>
      </c>
      <c r="B3" s="6" t="s">
        <v>34</v>
      </c>
      <c r="C3" s="7" t="s">
        <v>35</v>
      </c>
      <c r="D3" s="21">
        <v>0.63001625718241139</v>
      </c>
      <c r="E3" s="24">
        <v>0.58610337400000001</v>
      </c>
    </row>
    <row r="4" spans="1:5" ht="15.95" customHeight="1" x14ac:dyDescent="0.3">
      <c r="A4" s="9" t="s">
        <v>155</v>
      </c>
      <c r="B4" s="9" t="s">
        <v>156</v>
      </c>
      <c r="C4" s="10" t="s">
        <v>157</v>
      </c>
      <c r="D4" s="21">
        <v>0.71008171424750588</v>
      </c>
      <c r="E4" s="24">
        <v>0.62789276599999999</v>
      </c>
    </row>
    <row r="5" spans="1:5" ht="15.95" customHeight="1" x14ac:dyDescent="0.3">
      <c r="A5" s="9" t="s">
        <v>120</v>
      </c>
      <c r="B5" s="9" t="s">
        <v>121</v>
      </c>
      <c r="C5" s="10" t="s">
        <v>122</v>
      </c>
      <c r="D5" s="21">
        <v>0.5985443156815049</v>
      </c>
      <c r="E5" s="24">
        <v>0.56882559799999999</v>
      </c>
    </row>
    <row r="6" spans="1:5" ht="15.95" customHeight="1" x14ac:dyDescent="0.3">
      <c r="A6" s="6" t="s">
        <v>164</v>
      </c>
      <c r="B6" s="6" t="s">
        <v>165</v>
      </c>
      <c r="C6" s="7" t="s">
        <v>166</v>
      </c>
      <c r="D6" s="21">
        <v>0.63325994897898663</v>
      </c>
      <c r="E6" s="24">
        <v>0.57465367300000003</v>
      </c>
    </row>
    <row r="7" spans="1:5" ht="15.95" customHeight="1" x14ac:dyDescent="0.3">
      <c r="A7" s="6" t="s">
        <v>21</v>
      </c>
      <c r="B7" s="6" t="s">
        <v>22</v>
      </c>
      <c r="C7" s="7" t="s">
        <v>23</v>
      </c>
      <c r="D7" s="21">
        <v>0.66826180525028578</v>
      </c>
      <c r="E7" s="24">
        <v>0.648393942</v>
      </c>
    </row>
    <row r="8" spans="1:5" ht="15.95" customHeight="1" x14ac:dyDescent="0.3">
      <c r="A8" s="6" t="s">
        <v>135</v>
      </c>
      <c r="B8" s="6" t="s">
        <v>136</v>
      </c>
      <c r="C8" s="7" t="s">
        <v>137</v>
      </c>
      <c r="D8" s="21">
        <v>0.55956417930212643</v>
      </c>
      <c r="E8" s="24">
        <v>0.495504532</v>
      </c>
    </row>
    <row r="9" spans="1:5" ht="15.95" customHeight="1" x14ac:dyDescent="0.3">
      <c r="A9" s="9" t="s">
        <v>90</v>
      </c>
      <c r="B9" s="9" t="s">
        <v>91</v>
      </c>
      <c r="C9" s="10" t="s">
        <v>92</v>
      </c>
      <c r="D9" s="21">
        <v>0.71596074773569307</v>
      </c>
      <c r="E9" s="24">
        <v>0.71459794499999996</v>
      </c>
    </row>
    <row r="10" spans="1:5" ht="15.95" customHeight="1" x14ac:dyDescent="0.3">
      <c r="A10" s="6" t="s">
        <v>129</v>
      </c>
      <c r="B10" s="6" t="s">
        <v>130</v>
      </c>
      <c r="C10" s="7" t="s">
        <v>131</v>
      </c>
      <c r="D10" s="21">
        <v>0.51546456547180564</v>
      </c>
      <c r="E10" s="24">
        <v>0.46541176499999998</v>
      </c>
    </row>
    <row r="11" spans="1:5" ht="15.95" customHeight="1" x14ac:dyDescent="0.3">
      <c r="A11" s="9" t="s">
        <v>167</v>
      </c>
      <c r="B11" s="9" t="s">
        <v>168</v>
      </c>
      <c r="C11" s="10" t="s">
        <v>169</v>
      </c>
      <c r="D11" s="21">
        <v>0.5154052749318031</v>
      </c>
      <c r="E11" s="24">
        <v>0.54549662899999996</v>
      </c>
    </row>
    <row r="12" spans="1:5" ht="15.95" customHeight="1" x14ac:dyDescent="0.3">
      <c r="A12" s="6" t="s">
        <v>8</v>
      </c>
      <c r="B12" s="6" t="s">
        <v>9</v>
      </c>
      <c r="C12" s="7" t="s">
        <v>10</v>
      </c>
      <c r="D12" s="21">
        <v>0.49205026808542041</v>
      </c>
      <c r="E12" s="23" t="s">
        <v>11</v>
      </c>
    </row>
    <row r="13" spans="1:5" ht="15.95" customHeight="1" x14ac:dyDescent="0.3">
      <c r="A13" s="6" t="s">
        <v>63</v>
      </c>
      <c r="B13" s="6" t="s">
        <v>64</v>
      </c>
      <c r="C13" s="7" t="s">
        <v>65</v>
      </c>
      <c r="D13" s="21">
        <v>0.47126344708378748</v>
      </c>
      <c r="E13" s="24">
        <v>0.46111403499999998</v>
      </c>
    </row>
    <row r="14" spans="1:5" ht="15.95" customHeight="1" x14ac:dyDescent="0.3">
      <c r="A14" s="9" t="s">
        <v>42</v>
      </c>
      <c r="B14" s="9" t="s">
        <v>43</v>
      </c>
      <c r="C14" s="10" t="s">
        <v>44</v>
      </c>
      <c r="D14" s="21">
        <v>0.6377061829775682</v>
      </c>
      <c r="E14" s="24">
        <v>0.59673180699999995</v>
      </c>
    </row>
    <row r="15" spans="1:5" ht="15.95" customHeight="1" x14ac:dyDescent="0.3">
      <c r="A15" s="9" t="s">
        <v>78</v>
      </c>
      <c r="B15" s="9" t="s">
        <v>79</v>
      </c>
      <c r="C15" s="10" t="s">
        <v>80</v>
      </c>
      <c r="D15" s="21">
        <v>0.44673818345804123</v>
      </c>
      <c r="E15" s="24">
        <v>0.45209354200000001</v>
      </c>
    </row>
    <row r="16" spans="1:5" ht="15.95" customHeight="1" x14ac:dyDescent="0.3">
      <c r="A16" s="6" t="s">
        <v>15</v>
      </c>
      <c r="B16" s="6" t="s">
        <v>16</v>
      </c>
      <c r="C16" s="7" t="s">
        <v>17</v>
      </c>
      <c r="D16" s="21">
        <v>0.74882279579744238</v>
      </c>
      <c r="E16" s="24">
        <v>0.67729473399999995</v>
      </c>
    </row>
    <row r="17" spans="1:5" ht="15.95" customHeight="1" x14ac:dyDescent="0.3">
      <c r="A17" s="6" t="s">
        <v>99</v>
      </c>
      <c r="B17" s="6" t="s">
        <v>100</v>
      </c>
      <c r="C17" s="7" t="s">
        <v>101</v>
      </c>
      <c r="D17" s="21">
        <v>0.78355056534663459</v>
      </c>
      <c r="E17" s="24">
        <v>0.53523427400000001</v>
      </c>
    </row>
    <row r="18" spans="1:5" ht="15.95" customHeight="1" x14ac:dyDescent="0.3">
      <c r="A18" s="9" t="s">
        <v>36</v>
      </c>
      <c r="B18" s="9" t="s">
        <v>37</v>
      </c>
      <c r="C18" s="10" t="s">
        <v>38</v>
      </c>
      <c r="D18" s="21">
        <v>0.65260453730909096</v>
      </c>
      <c r="E18" s="24">
        <v>0.61560111299999998</v>
      </c>
    </row>
    <row r="19" spans="1:5" ht="15.95" customHeight="1" x14ac:dyDescent="0.3">
      <c r="A19" s="6" t="s">
        <v>147</v>
      </c>
      <c r="B19" s="6" t="s">
        <v>148</v>
      </c>
      <c r="C19" s="7" t="s">
        <v>149</v>
      </c>
      <c r="D19" s="21">
        <v>0.68070685512418838</v>
      </c>
      <c r="E19" s="24">
        <v>0.65155239899999995</v>
      </c>
    </row>
    <row r="20" spans="1:5" ht="15.95" customHeight="1" x14ac:dyDescent="0.3">
      <c r="A20" s="6" t="s">
        <v>117</v>
      </c>
      <c r="B20" s="6" t="s">
        <v>118</v>
      </c>
      <c r="C20" s="7" t="s">
        <v>119</v>
      </c>
      <c r="D20" s="21">
        <v>0.54792041234145539</v>
      </c>
      <c r="E20" s="24">
        <v>0.57961797699999995</v>
      </c>
    </row>
    <row r="21" spans="1:5" ht="15.95" customHeight="1" x14ac:dyDescent="0.3">
      <c r="A21" s="6" t="s">
        <v>141</v>
      </c>
      <c r="B21" s="6" t="s">
        <v>142</v>
      </c>
      <c r="C21" s="7" t="s">
        <v>143</v>
      </c>
      <c r="D21" s="21">
        <v>0.5444195536507751</v>
      </c>
      <c r="E21" s="24">
        <v>0.50266715500000003</v>
      </c>
    </row>
    <row r="22" spans="1:5" ht="15.95" customHeight="1" x14ac:dyDescent="0.3">
      <c r="A22" s="9" t="s">
        <v>48</v>
      </c>
      <c r="B22" s="9" t="s">
        <v>49</v>
      </c>
      <c r="C22" s="10" t="s">
        <v>50</v>
      </c>
      <c r="D22" s="21">
        <v>0.61394603622697874</v>
      </c>
      <c r="E22" s="24">
        <v>0.50655498600000004</v>
      </c>
    </row>
    <row r="23" spans="1:5" ht="15.95" customHeight="1" x14ac:dyDescent="0.3">
      <c r="A23" s="6" t="s">
        <v>105</v>
      </c>
      <c r="B23" s="6" t="s">
        <v>106</v>
      </c>
      <c r="C23" s="7" t="s">
        <v>107</v>
      </c>
      <c r="D23" s="21">
        <v>0.50689841191821228</v>
      </c>
      <c r="E23" s="24">
        <v>0.55164089500000002</v>
      </c>
    </row>
    <row r="24" spans="1:5" ht="15.95" customHeight="1" x14ac:dyDescent="0.3">
      <c r="A24" s="6" t="s">
        <v>39</v>
      </c>
      <c r="B24" s="6" t="s">
        <v>40</v>
      </c>
      <c r="C24" s="7" t="s">
        <v>41</v>
      </c>
      <c r="D24" s="21">
        <v>0.59196018535515105</v>
      </c>
      <c r="E24" s="24">
        <v>0.44710017600000002</v>
      </c>
    </row>
    <row r="25" spans="1:5" ht="15.95" customHeight="1" x14ac:dyDescent="0.3">
      <c r="A25" s="6" t="s">
        <v>69</v>
      </c>
      <c r="B25" s="6" t="s">
        <v>70</v>
      </c>
      <c r="C25" s="7" t="s">
        <v>71</v>
      </c>
      <c r="D25" s="21">
        <v>0.72022511217724916</v>
      </c>
      <c r="E25" s="24">
        <v>0.48866661099999997</v>
      </c>
    </row>
    <row r="26" spans="1:5" ht="15.95" customHeight="1" x14ac:dyDescent="0.3">
      <c r="A26" s="9" t="s">
        <v>108</v>
      </c>
      <c r="B26" s="9" t="s">
        <v>109</v>
      </c>
      <c r="C26" s="10" t="s">
        <v>110</v>
      </c>
      <c r="D26" s="21">
        <v>0.5409049447071792</v>
      </c>
      <c r="E26" s="24">
        <v>0.53107122100000004</v>
      </c>
    </row>
    <row r="27" spans="1:5" ht="15.95" customHeight="1" x14ac:dyDescent="0.3">
      <c r="A27" s="9" t="s">
        <v>84</v>
      </c>
      <c r="B27" s="9" t="s">
        <v>85</v>
      </c>
      <c r="C27" s="10" t="s">
        <v>86</v>
      </c>
      <c r="D27" s="21">
        <v>0.65170003127665455</v>
      </c>
      <c r="E27" s="24">
        <v>0.615229778</v>
      </c>
    </row>
    <row r="28" spans="1:5" ht="15.95" customHeight="1" x14ac:dyDescent="0.3">
      <c r="A28" s="9" t="s">
        <v>60</v>
      </c>
      <c r="B28" s="9" t="s">
        <v>61</v>
      </c>
      <c r="C28" s="10" t="s">
        <v>62</v>
      </c>
      <c r="D28" s="21">
        <v>0.50494263405071893</v>
      </c>
      <c r="E28" s="24">
        <v>0.48972073700000002</v>
      </c>
    </row>
    <row r="29" spans="1:5" ht="15.95" customHeight="1" x14ac:dyDescent="0.3">
      <c r="A29" s="6" t="s">
        <v>75</v>
      </c>
      <c r="B29" s="6" t="s">
        <v>76</v>
      </c>
      <c r="C29" s="7" t="s">
        <v>77</v>
      </c>
      <c r="D29" s="21">
        <v>0.4203821880495639</v>
      </c>
      <c r="E29" s="24">
        <v>0.38157536800000003</v>
      </c>
    </row>
    <row r="30" spans="1:5" ht="15.95" customHeight="1" x14ac:dyDescent="0.3">
      <c r="A30" s="9" t="s">
        <v>18</v>
      </c>
      <c r="B30" s="9" t="s">
        <v>19</v>
      </c>
      <c r="C30" s="10" t="s">
        <v>20</v>
      </c>
      <c r="D30" s="21">
        <v>0.4424983887971729</v>
      </c>
      <c r="E30" s="24">
        <v>0.41779325299999998</v>
      </c>
    </row>
    <row r="31" spans="1:5" ht="15.95" customHeight="1" x14ac:dyDescent="0.3">
      <c r="A31" s="9" t="s">
        <v>138</v>
      </c>
      <c r="B31" s="9" t="s">
        <v>139</v>
      </c>
      <c r="C31" s="10" t="s">
        <v>140</v>
      </c>
      <c r="D31" s="21">
        <v>0.51996784836203602</v>
      </c>
      <c r="E31" s="24">
        <v>0.49576821599999998</v>
      </c>
    </row>
    <row r="32" spans="1:5" ht="15.95" customHeight="1" x14ac:dyDescent="0.3">
      <c r="A32" s="6" t="s">
        <v>57</v>
      </c>
      <c r="B32" s="6" t="s">
        <v>58</v>
      </c>
      <c r="C32" s="7" t="s">
        <v>59</v>
      </c>
      <c r="D32" s="21">
        <v>0.54293576224810403</v>
      </c>
      <c r="E32" s="24">
        <v>0.50788916900000003</v>
      </c>
    </row>
    <row r="33" spans="1:5" ht="15.95" customHeight="1" x14ac:dyDescent="0.3">
      <c r="A33" s="9" t="s">
        <v>12</v>
      </c>
      <c r="B33" s="9" t="s">
        <v>13</v>
      </c>
      <c r="C33" s="10" t="s">
        <v>14</v>
      </c>
      <c r="D33" s="21">
        <v>0.39645012011606873</v>
      </c>
      <c r="E33" s="24">
        <v>0.39395809300000001</v>
      </c>
    </row>
    <row r="34" spans="1:5" ht="15.95" customHeight="1" x14ac:dyDescent="0.3">
      <c r="A34" s="9" t="s">
        <v>24</v>
      </c>
      <c r="B34" s="9" t="s">
        <v>25</v>
      </c>
      <c r="C34" s="10" t="s">
        <v>26</v>
      </c>
      <c r="D34" s="21">
        <v>0.81329364203124477</v>
      </c>
      <c r="E34" s="24">
        <v>0.628195854</v>
      </c>
    </row>
    <row r="35" spans="1:5" ht="15.95" customHeight="1" x14ac:dyDescent="0.3">
      <c r="A35" s="9" t="s">
        <v>96</v>
      </c>
      <c r="B35" s="9" t="s">
        <v>97</v>
      </c>
      <c r="C35" s="10" t="s">
        <v>98</v>
      </c>
      <c r="D35" s="21">
        <v>0.52822223494815645</v>
      </c>
      <c r="E35" s="24">
        <v>0.50476179499999996</v>
      </c>
    </row>
    <row r="36" spans="1:5" ht="15.95" customHeight="1" x14ac:dyDescent="0.3">
      <c r="A36" s="9" t="s">
        <v>66</v>
      </c>
      <c r="B36" s="9" t="s">
        <v>67</v>
      </c>
      <c r="C36" s="10" t="s">
        <v>68</v>
      </c>
      <c r="D36" s="21">
        <v>0.48910962996341029</v>
      </c>
      <c r="E36" s="24">
        <v>0.45475254100000001</v>
      </c>
    </row>
    <row r="37" spans="1:5" ht="15.95" customHeight="1" x14ac:dyDescent="0.3">
      <c r="A37" s="6" t="s">
        <v>45</v>
      </c>
      <c r="B37" s="6" t="s">
        <v>46</v>
      </c>
      <c r="C37" s="7" t="s">
        <v>47</v>
      </c>
      <c r="D37" s="21">
        <v>0.60159777810373016</v>
      </c>
      <c r="E37" s="24">
        <v>0.56616491999999996</v>
      </c>
    </row>
    <row r="38" spans="1:5" ht="15.95" customHeight="1" x14ac:dyDescent="0.3">
      <c r="A38" s="9" t="s">
        <v>150</v>
      </c>
      <c r="B38" s="9" t="s">
        <v>151</v>
      </c>
      <c r="C38" s="10" t="s">
        <v>191</v>
      </c>
      <c r="D38" s="21">
        <v>0.51219870521075161</v>
      </c>
      <c r="E38" s="24">
        <v>0.58610337400000001</v>
      </c>
    </row>
    <row r="39" spans="1:5" ht="15.95" customHeight="1" x14ac:dyDescent="0.3">
      <c r="A39" s="9" t="s">
        <v>161</v>
      </c>
      <c r="B39" s="9" t="s">
        <v>162</v>
      </c>
      <c r="C39" s="10" t="s">
        <v>163</v>
      </c>
      <c r="D39" s="21">
        <v>0.40614469590177948</v>
      </c>
      <c r="E39" s="24">
        <v>0.39403471000000001</v>
      </c>
    </row>
    <row r="40" spans="1:5" ht="15.95" customHeight="1" x14ac:dyDescent="0.3">
      <c r="A40" s="6" t="s">
        <v>27</v>
      </c>
      <c r="B40" s="6" t="s">
        <v>28</v>
      </c>
      <c r="C40" s="7" t="s">
        <v>29</v>
      </c>
      <c r="D40" s="21">
        <v>0.51331185876992003</v>
      </c>
      <c r="E40" s="24">
        <v>0.411157614</v>
      </c>
    </row>
    <row r="41" spans="1:5" ht="15.95" customHeight="1" x14ac:dyDescent="0.3">
      <c r="A41" s="6" t="s">
        <v>152</v>
      </c>
      <c r="B41" s="6" t="s">
        <v>153</v>
      </c>
      <c r="C41" s="7" t="s">
        <v>154</v>
      </c>
      <c r="D41" s="21">
        <v>0.51071121300373901</v>
      </c>
      <c r="E41" s="24">
        <v>0.46993383700000002</v>
      </c>
    </row>
    <row r="42" spans="1:5" ht="15.95" customHeight="1" x14ac:dyDescent="0.3">
      <c r="A42" s="9" t="s">
        <v>30</v>
      </c>
      <c r="B42" s="9" t="s">
        <v>31</v>
      </c>
      <c r="C42" s="10" t="s">
        <v>32</v>
      </c>
      <c r="D42" s="21">
        <v>0.425102168594581</v>
      </c>
      <c r="E42" s="24">
        <v>0.39497946900000003</v>
      </c>
    </row>
    <row r="43" spans="1:5" ht="15.95" customHeight="1" x14ac:dyDescent="0.3">
      <c r="A43" s="9" t="s">
        <v>114</v>
      </c>
      <c r="B43" s="9" t="s">
        <v>115</v>
      </c>
      <c r="C43" s="10" t="s">
        <v>116</v>
      </c>
      <c r="D43" s="21">
        <v>0.46885612751879707</v>
      </c>
      <c r="E43" s="24">
        <v>0.46088512700000001</v>
      </c>
    </row>
    <row r="44" spans="1:5" ht="15.95" customHeight="1" x14ac:dyDescent="0.3">
      <c r="A44" s="6" t="s">
        <v>81</v>
      </c>
      <c r="B44" s="6" t="s">
        <v>82</v>
      </c>
      <c r="C44" s="7" t="s">
        <v>83</v>
      </c>
      <c r="D44" s="21">
        <v>0.3539915495808944</v>
      </c>
      <c r="E44" s="24">
        <v>0.34690751600000003</v>
      </c>
    </row>
    <row r="45" spans="1:5" ht="15.95" customHeight="1" x14ac:dyDescent="0.3">
      <c r="A45" s="6" t="s">
        <v>123</v>
      </c>
      <c r="B45" s="6" t="s">
        <v>124</v>
      </c>
      <c r="C45" s="7" t="s">
        <v>125</v>
      </c>
      <c r="D45" s="21">
        <v>0.79351302407500857</v>
      </c>
      <c r="E45" s="24">
        <v>0.74362243699999997</v>
      </c>
    </row>
    <row r="46" spans="1:5" ht="15.95" customHeight="1" x14ac:dyDescent="0.3">
      <c r="A46" s="9" t="s">
        <v>126</v>
      </c>
      <c r="B46" s="9" t="s">
        <v>127</v>
      </c>
      <c r="C46" s="10" t="s">
        <v>128</v>
      </c>
      <c r="D46" s="21">
        <v>0.3985690387036751</v>
      </c>
      <c r="E46" s="24">
        <v>0.380494889</v>
      </c>
    </row>
    <row r="47" spans="1:5" ht="15.95" customHeight="1" x14ac:dyDescent="0.3">
      <c r="A47" s="6" t="s">
        <v>93</v>
      </c>
      <c r="B47" s="6" t="s">
        <v>94</v>
      </c>
      <c r="C47" s="7" t="s">
        <v>95</v>
      </c>
      <c r="D47" s="21">
        <v>0.43304442362224133</v>
      </c>
      <c r="E47" s="24">
        <v>0.40030508799999998</v>
      </c>
    </row>
    <row r="48" spans="1:5" ht="15.95" customHeight="1" x14ac:dyDescent="0.3">
      <c r="A48" s="9" t="s">
        <v>54</v>
      </c>
      <c r="B48" s="9" t="s">
        <v>55</v>
      </c>
      <c r="C48" s="10" t="s">
        <v>56</v>
      </c>
      <c r="D48" s="21">
        <v>0.45054329986624719</v>
      </c>
      <c r="E48" s="24">
        <v>0.42012378</v>
      </c>
    </row>
    <row r="49" spans="1:5" ht="15.95" customHeight="1" x14ac:dyDescent="0.3">
      <c r="A49" s="6" t="s">
        <v>158</v>
      </c>
      <c r="B49" s="6" t="s">
        <v>159</v>
      </c>
      <c r="C49" s="7" t="s">
        <v>160</v>
      </c>
      <c r="D49" s="21">
        <v>0.47520588707437572</v>
      </c>
      <c r="E49" s="24">
        <v>0.50640371200000001</v>
      </c>
    </row>
    <row r="50" spans="1:5" ht="15.95" customHeight="1" x14ac:dyDescent="0.3">
      <c r="A50" s="6" t="s">
        <v>87</v>
      </c>
      <c r="B50" s="6" t="s">
        <v>88</v>
      </c>
      <c r="C50" s="7" t="s">
        <v>89</v>
      </c>
      <c r="D50" s="21">
        <v>0.55794011310443403</v>
      </c>
      <c r="E50" s="24">
        <v>0.53881738099999998</v>
      </c>
    </row>
    <row r="51" spans="1:5" ht="15.95" customHeight="1" x14ac:dyDescent="0.3">
      <c r="A51" s="6" t="s">
        <v>111</v>
      </c>
      <c r="B51" s="6" t="s">
        <v>112</v>
      </c>
      <c r="C51" s="7" t="s">
        <v>113</v>
      </c>
      <c r="D51" s="21">
        <v>0.4260547238287023</v>
      </c>
      <c r="E51" s="24">
        <v>0.44975268800000001</v>
      </c>
    </row>
    <row r="52" spans="1:5" ht="15.95" customHeight="1" x14ac:dyDescent="0.3">
      <c r="A52" s="9" t="s">
        <v>102</v>
      </c>
      <c r="B52" s="9" t="s">
        <v>103</v>
      </c>
      <c r="C52" s="10" t="s">
        <v>104</v>
      </c>
      <c r="D52" s="21">
        <v>0.36516169659787362</v>
      </c>
      <c r="E52" s="23" t="s">
        <v>11</v>
      </c>
    </row>
    <row r="53" spans="1:5" ht="15.95" customHeight="1" x14ac:dyDescent="0.3">
      <c r="A53" s="12" t="s">
        <v>132</v>
      </c>
      <c r="B53" s="12" t="s">
        <v>133</v>
      </c>
      <c r="C53" s="13" t="s">
        <v>134</v>
      </c>
      <c r="D53" s="22">
        <v>0.69071661187402</v>
      </c>
      <c r="E53" s="25" t="s">
        <v>11</v>
      </c>
    </row>
    <row r="54" spans="1:5" ht="15.95" customHeight="1" x14ac:dyDescent="0.3">
      <c r="A54" s="6" t="s">
        <v>51</v>
      </c>
      <c r="B54" s="6" t="s">
        <v>52</v>
      </c>
      <c r="C54" s="7" t="s">
        <v>53</v>
      </c>
      <c r="D54" s="21">
        <v>0.398911655659416</v>
      </c>
      <c r="E54" s="24">
        <v>0.37486847400000001</v>
      </c>
    </row>
    <row r="55" spans="1:5" ht="15.95" customHeight="1" x14ac:dyDescent="0.3">
      <c r="A55" s="9" t="s">
        <v>72</v>
      </c>
      <c r="B55" s="9" t="s">
        <v>73</v>
      </c>
      <c r="C55" s="10" t="s">
        <v>74</v>
      </c>
      <c r="D55" s="21">
        <v>0.45866958568024108</v>
      </c>
      <c r="E55" s="23" t="s">
        <v>11</v>
      </c>
    </row>
    <row r="56" spans="1:5" ht="15.95" customHeight="1" x14ac:dyDescent="0.3">
      <c r="A56" s="9" t="s">
        <v>144</v>
      </c>
      <c r="B56" s="9" t="s">
        <v>145</v>
      </c>
      <c r="C56" s="10" t="s">
        <v>146</v>
      </c>
      <c r="D56" s="21">
        <v>0.59183363828367996</v>
      </c>
      <c r="E56" s="24">
        <v>0.40164413500000001</v>
      </c>
    </row>
  </sheetData>
  <autoFilter ref="A2:E2" xr:uid="{00000000-0001-0000-0100-000000000000}"/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56"/>
  <sheetViews>
    <sheetView workbookViewId="0">
      <pane xSplit="3" ySplit="2" topLeftCell="D3" activePane="bottomRight" state="frozen"/>
      <selection activeCell="I9" sqref="I9"/>
      <selection pane="topRight" activeCell="I9" sqref="I9"/>
      <selection pane="bottomLeft" activeCell="I9" sqref="I9"/>
      <selection pane="bottomRight" activeCell="B25" sqref="B25"/>
    </sheetView>
  </sheetViews>
  <sheetFormatPr defaultRowHeight="16.5" x14ac:dyDescent="0.3"/>
  <cols>
    <col min="1" max="1" width="8" style="3" customWidth="1"/>
    <col min="2" max="2" width="40.125" style="3" bestFit="1" customWidth="1"/>
    <col min="3" max="3" width="14" style="3" bestFit="1" customWidth="1"/>
    <col min="4" max="4" width="14.125" style="3" bestFit="1" customWidth="1"/>
    <col min="5" max="5" width="18" style="3" bestFit="1" customWidth="1"/>
    <col min="6" max="6" width="16" style="18" bestFit="1" customWidth="1"/>
    <col min="7" max="7" width="20" style="19" customWidth="1"/>
  </cols>
  <sheetData>
    <row r="1" spans="1:7" ht="16.5" customHeight="1" x14ac:dyDescent="0.3">
      <c r="A1" s="95" t="s">
        <v>208</v>
      </c>
      <c r="B1" s="95"/>
      <c r="C1" s="95"/>
      <c r="D1" s="95"/>
      <c r="E1" s="95"/>
      <c r="F1" s="95"/>
      <c r="G1" s="79"/>
    </row>
    <row r="2" spans="1:7" ht="36" customHeight="1" x14ac:dyDescent="0.3">
      <c r="A2" s="4" t="s">
        <v>0</v>
      </c>
      <c r="B2" s="4" t="s">
        <v>1</v>
      </c>
      <c r="C2" s="5" t="s">
        <v>2</v>
      </c>
      <c r="D2" s="4" t="s">
        <v>3</v>
      </c>
      <c r="E2" s="5" t="s">
        <v>170</v>
      </c>
      <c r="F2" s="28" t="s">
        <v>171</v>
      </c>
      <c r="G2" s="80" t="s">
        <v>211</v>
      </c>
    </row>
    <row r="3" spans="1:7" ht="15.95" customHeight="1" x14ac:dyDescent="0.3">
      <c r="A3" s="6" t="s">
        <v>147</v>
      </c>
      <c r="B3" s="6" t="s">
        <v>148</v>
      </c>
      <c r="C3" s="7" t="s">
        <v>149</v>
      </c>
      <c r="D3" s="8">
        <v>6498</v>
      </c>
      <c r="E3" s="15">
        <v>3849</v>
      </c>
      <c r="F3" s="29">
        <f t="shared" ref="F3:F34" si="0">E3/D3</f>
        <v>0.59233610341643583</v>
      </c>
      <c r="G3" s="26">
        <v>0.59241050900000003</v>
      </c>
    </row>
    <row r="4" spans="1:7" ht="15.95" customHeight="1" x14ac:dyDescent="0.3">
      <c r="A4" s="6" t="s">
        <v>15</v>
      </c>
      <c r="B4" s="6" t="s">
        <v>16</v>
      </c>
      <c r="C4" s="7" t="s">
        <v>17</v>
      </c>
      <c r="D4" s="8">
        <v>7298</v>
      </c>
      <c r="E4" s="15">
        <v>3920</v>
      </c>
      <c r="F4" s="29">
        <f t="shared" si="0"/>
        <v>0.53713346122225269</v>
      </c>
      <c r="G4" s="26">
        <v>0.53835597599999996</v>
      </c>
    </row>
    <row r="5" spans="1:7" ht="15.95" customHeight="1" x14ac:dyDescent="0.3">
      <c r="A5" s="6" t="s">
        <v>81</v>
      </c>
      <c r="B5" s="6" t="s">
        <v>82</v>
      </c>
      <c r="C5" s="7" t="s">
        <v>83</v>
      </c>
      <c r="D5" s="8">
        <v>1941</v>
      </c>
      <c r="E5" s="15">
        <v>979</v>
      </c>
      <c r="F5" s="29">
        <f t="shared" si="0"/>
        <v>0.50437918598660481</v>
      </c>
      <c r="G5" s="26">
        <v>0.50494019800000001</v>
      </c>
    </row>
    <row r="6" spans="1:7" ht="15.95" customHeight="1" x14ac:dyDescent="0.3">
      <c r="A6" s="9" t="s">
        <v>24</v>
      </c>
      <c r="B6" s="9" t="s">
        <v>25</v>
      </c>
      <c r="C6" s="10" t="s">
        <v>26</v>
      </c>
      <c r="D6" s="11">
        <v>3141</v>
      </c>
      <c r="E6" s="16">
        <v>1254</v>
      </c>
      <c r="F6" s="29">
        <f t="shared" si="0"/>
        <v>0.39923591212989495</v>
      </c>
      <c r="G6" s="26">
        <v>0.39891234800000003</v>
      </c>
    </row>
    <row r="7" spans="1:7" ht="15.95" customHeight="1" x14ac:dyDescent="0.3">
      <c r="A7" s="9" t="s">
        <v>150</v>
      </c>
      <c r="B7" s="9" t="s">
        <v>190</v>
      </c>
      <c r="C7" s="10" t="s">
        <v>191</v>
      </c>
      <c r="D7" s="11">
        <v>2565</v>
      </c>
      <c r="E7" s="16">
        <v>990</v>
      </c>
      <c r="F7" s="29">
        <f t="shared" si="0"/>
        <v>0.38596491228070173</v>
      </c>
      <c r="G7" s="26">
        <v>0.31330802400000002</v>
      </c>
    </row>
    <row r="8" spans="1:7" ht="15.95" customHeight="1" x14ac:dyDescent="0.3">
      <c r="A8" s="6" t="s">
        <v>87</v>
      </c>
      <c r="B8" s="6" t="s">
        <v>88</v>
      </c>
      <c r="C8" s="7" t="s">
        <v>89</v>
      </c>
      <c r="D8" s="8">
        <v>1279</v>
      </c>
      <c r="E8" s="15">
        <v>474</v>
      </c>
      <c r="F8" s="29">
        <f t="shared" si="0"/>
        <v>0.37060203283815479</v>
      </c>
      <c r="G8" s="26">
        <v>0.36920659900000002</v>
      </c>
    </row>
    <row r="9" spans="1:7" ht="15.95" customHeight="1" x14ac:dyDescent="0.3">
      <c r="A9" s="6" t="s">
        <v>164</v>
      </c>
      <c r="B9" s="6" t="s">
        <v>165</v>
      </c>
      <c r="C9" s="7" t="s">
        <v>166</v>
      </c>
      <c r="D9" s="8">
        <v>19988</v>
      </c>
      <c r="E9" s="15">
        <v>7123</v>
      </c>
      <c r="F9" s="29">
        <f t="shared" si="0"/>
        <v>0.35636381829097458</v>
      </c>
      <c r="G9" s="26">
        <v>0.35522028999999999</v>
      </c>
    </row>
    <row r="10" spans="1:7" ht="15.95" customHeight="1" x14ac:dyDescent="0.3">
      <c r="A10" s="9" t="s">
        <v>102</v>
      </c>
      <c r="B10" s="9" t="s">
        <v>103</v>
      </c>
      <c r="C10" s="10" t="s">
        <v>174</v>
      </c>
      <c r="D10" s="11">
        <v>1238</v>
      </c>
      <c r="E10" s="16">
        <v>438</v>
      </c>
      <c r="F10" s="29">
        <f t="shared" si="0"/>
        <v>0.35379644588045234</v>
      </c>
      <c r="G10" s="26">
        <v>0.35442011400000001</v>
      </c>
    </row>
    <row r="11" spans="1:7" ht="15.95" customHeight="1" x14ac:dyDescent="0.3">
      <c r="A11" s="9" t="s">
        <v>96</v>
      </c>
      <c r="B11" s="9" t="s">
        <v>97</v>
      </c>
      <c r="C11" s="10" t="s">
        <v>98</v>
      </c>
      <c r="D11" s="11">
        <v>2983</v>
      </c>
      <c r="E11" s="16">
        <v>1049</v>
      </c>
      <c r="F11" s="29">
        <f t="shared" si="0"/>
        <v>0.35165940328528328</v>
      </c>
      <c r="G11" s="26">
        <v>0.35497981200000001</v>
      </c>
    </row>
    <row r="12" spans="1:7" ht="15.95" customHeight="1" x14ac:dyDescent="0.3">
      <c r="A12" s="9" t="s">
        <v>155</v>
      </c>
      <c r="B12" s="9" t="s">
        <v>156</v>
      </c>
      <c r="C12" s="10" t="s">
        <v>157</v>
      </c>
      <c r="D12" s="11">
        <v>27356</v>
      </c>
      <c r="E12" s="16">
        <v>9599</v>
      </c>
      <c r="F12" s="29">
        <f t="shared" si="0"/>
        <v>0.35089194326655943</v>
      </c>
      <c r="G12" s="26">
        <v>0.34988613800000001</v>
      </c>
    </row>
    <row r="13" spans="1:7" ht="15.95" customHeight="1" x14ac:dyDescent="0.3">
      <c r="A13" s="9" t="s">
        <v>138</v>
      </c>
      <c r="B13" s="9" t="s">
        <v>139</v>
      </c>
      <c r="C13" s="10" t="s">
        <v>140</v>
      </c>
      <c r="D13" s="11">
        <v>3803</v>
      </c>
      <c r="E13" s="16">
        <v>1314</v>
      </c>
      <c r="F13" s="29">
        <f t="shared" si="0"/>
        <v>0.34551669734420193</v>
      </c>
      <c r="G13" s="26">
        <v>0.34554140100000003</v>
      </c>
    </row>
    <row r="14" spans="1:7" ht="15.95" customHeight="1" x14ac:dyDescent="0.3">
      <c r="A14" s="9" t="s">
        <v>90</v>
      </c>
      <c r="B14" s="9" t="s">
        <v>91</v>
      </c>
      <c r="C14" s="10" t="s">
        <v>92</v>
      </c>
      <c r="D14" s="11">
        <v>11607</v>
      </c>
      <c r="E14" s="16">
        <v>3922</v>
      </c>
      <c r="F14" s="29">
        <f t="shared" si="0"/>
        <v>0.33789954337899542</v>
      </c>
      <c r="G14" s="26">
        <v>0.33784255499999999</v>
      </c>
    </row>
    <row r="15" spans="1:7" ht="15.95" customHeight="1" x14ac:dyDescent="0.3">
      <c r="A15" s="9" t="s">
        <v>54</v>
      </c>
      <c r="B15" s="9" t="s">
        <v>55</v>
      </c>
      <c r="C15" s="10" t="s">
        <v>56</v>
      </c>
      <c r="D15" s="11">
        <v>1382</v>
      </c>
      <c r="E15" s="16">
        <v>465</v>
      </c>
      <c r="F15" s="29">
        <f t="shared" si="0"/>
        <v>0.33646888567293776</v>
      </c>
      <c r="G15" s="26">
        <v>0.336489439</v>
      </c>
    </row>
    <row r="16" spans="1:7" ht="15.95" customHeight="1" x14ac:dyDescent="0.3">
      <c r="A16" s="6" t="s">
        <v>21</v>
      </c>
      <c r="B16" s="6" t="s">
        <v>22</v>
      </c>
      <c r="C16" s="7" t="s">
        <v>23</v>
      </c>
      <c r="D16" s="8">
        <v>12734</v>
      </c>
      <c r="E16" s="15">
        <v>4218</v>
      </c>
      <c r="F16" s="29">
        <f t="shared" si="0"/>
        <v>0.33123920213601382</v>
      </c>
      <c r="G16" s="26">
        <v>0.33049107799999999</v>
      </c>
    </row>
    <row r="17" spans="1:7" ht="15.95" customHeight="1" x14ac:dyDescent="0.3">
      <c r="A17" s="6" t="s">
        <v>129</v>
      </c>
      <c r="B17" s="6" t="s">
        <v>130</v>
      </c>
      <c r="C17" s="7" t="s">
        <v>131</v>
      </c>
      <c r="D17" s="8">
        <v>11383</v>
      </c>
      <c r="E17" s="15">
        <v>3727</v>
      </c>
      <c r="F17" s="29">
        <f t="shared" si="0"/>
        <v>0.32741807959237457</v>
      </c>
      <c r="G17" s="26">
        <v>0.32825301699999998</v>
      </c>
    </row>
    <row r="18" spans="1:7" ht="15.95" customHeight="1" x14ac:dyDescent="0.3">
      <c r="A18" s="9" t="s">
        <v>84</v>
      </c>
      <c r="B18" s="9" t="s">
        <v>85</v>
      </c>
      <c r="C18" s="10" t="s">
        <v>86</v>
      </c>
      <c r="D18" s="11">
        <v>5140</v>
      </c>
      <c r="E18" s="16">
        <v>1681</v>
      </c>
      <c r="F18" s="29">
        <f t="shared" si="0"/>
        <v>0.32704280155642024</v>
      </c>
      <c r="G18" s="26">
        <v>0.32834351000000001</v>
      </c>
    </row>
    <row r="19" spans="1:7" ht="15.95" customHeight="1" x14ac:dyDescent="0.3">
      <c r="A19" s="9" t="s">
        <v>126</v>
      </c>
      <c r="B19" s="9" t="s">
        <v>127</v>
      </c>
      <c r="C19" s="10" t="s">
        <v>128</v>
      </c>
      <c r="D19" s="11">
        <v>1603</v>
      </c>
      <c r="E19" s="16">
        <v>520</v>
      </c>
      <c r="F19" s="29">
        <f t="shared" si="0"/>
        <v>0.32439176543980036</v>
      </c>
      <c r="G19" s="26">
        <v>0.32665832299999997</v>
      </c>
    </row>
    <row r="20" spans="1:7" ht="15.95" customHeight="1" x14ac:dyDescent="0.3">
      <c r="A20" s="6" t="s">
        <v>123</v>
      </c>
      <c r="B20" s="6" t="s">
        <v>124</v>
      </c>
      <c r="C20" s="7" t="s">
        <v>125</v>
      </c>
      <c r="D20" s="8">
        <v>1800</v>
      </c>
      <c r="E20" s="15">
        <v>574</v>
      </c>
      <c r="F20" s="29">
        <f t="shared" si="0"/>
        <v>0.31888888888888889</v>
      </c>
      <c r="G20" s="26">
        <v>0.31946006700000001</v>
      </c>
    </row>
    <row r="21" spans="1:7" ht="15.95" customHeight="1" x14ac:dyDescent="0.3">
      <c r="A21" s="6" t="s">
        <v>63</v>
      </c>
      <c r="B21" s="6" t="s">
        <v>64</v>
      </c>
      <c r="C21" s="7" t="s">
        <v>65</v>
      </c>
      <c r="D21" s="8">
        <v>9295</v>
      </c>
      <c r="E21" s="15">
        <v>2955</v>
      </c>
      <c r="F21" s="29">
        <f t="shared" si="0"/>
        <v>0.31791285637439481</v>
      </c>
      <c r="G21" s="26">
        <v>0.31691510000000001</v>
      </c>
    </row>
    <row r="22" spans="1:7" ht="15.95" customHeight="1" x14ac:dyDescent="0.3">
      <c r="A22" s="6" t="s">
        <v>141</v>
      </c>
      <c r="B22" s="6" t="s">
        <v>142</v>
      </c>
      <c r="C22" s="7" t="s">
        <v>143</v>
      </c>
      <c r="D22" s="8">
        <v>5984</v>
      </c>
      <c r="E22" s="15">
        <v>1883</v>
      </c>
      <c r="F22" s="29">
        <f t="shared" si="0"/>
        <v>0.31467245989304815</v>
      </c>
      <c r="G22" s="26">
        <v>0.31352803000000001</v>
      </c>
    </row>
    <row r="23" spans="1:7" ht="15.95" customHeight="1" x14ac:dyDescent="0.3">
      <c r="A23" s="6" t="s">
        <v>33</v>
      </c>
      <c r="B23" s="6" t="s">
        <v>34</v>
      </c>
      <c r="C23" s="7" t="s">
        <v>35</v>
      </c>
      <c r="D23" s="8">
        <v>39091</v>
      </c>
      <c r="E23" s="15">
        <v>12265</v>
      </c>
      <c r="F23" s="29">
        <f t="shared" si="0"/>
        <v>0.31375508429050164</v>
      </c>
      <c r="G23" s="26">
        <v>0.31330802400000002</v>
      </c>
    </row>
    <row r="24" spans="1:7" ht="15.95" customHeight="1" x14ac:dyDescent="0.3">
      <c r="A24" s="6" t="s">
        <v>117</v>
      </c>
      <c r="B24" s="6" t="s">
        <v>118</v>
      </c>
      <c r="C24" s="7" t="s">
        <v>119</v>
      </c>
      <c r="D24" s="8">
        <v>6166</v>
      </c>
      <c r="E24" s="15">
        <v>1928</v>
      </c>
      <c r="F24" s="29">
        <f t="shared" si="0"/>
        <v>0.31268245215698992</v>
      </c>
      <c r="G24" s="26">
        <v>0.31136549499999999</v>
      </c>
    </row>
    <row r="25" spans="1:7" ht="15.95" customHeight="1" x14ac:dyDescent="0.3">
      <c r="A25" s="9" t="s">
        <v>60</v>
      </c>
      <c r="B25" s="9" t="s">
        <v>61</v>
      </c>
      <c r="C25" s="10" t="s">
        <v>62</v>
      </c>
      <c r="D25" s="11">
        <v>4830</v>
      </c>
      <c r="E25" s="16">
        <v>1506</v>
      </c>
      <c r="F25" s="29">
        <f t="shared" si="0"/>
        <v>0.31180124223602484</v>
      </c>
      <c r="G25" s="26">
        <v>0.31239565899999999</v>
      </c>
    </row>
    <row r="26" spans="1:7" ht="15.95" customHeight="1" x14ac:dyDescent="0.3">
      <c r="A26" s="6" t="s">
        <v>152</v>
      </c>
      <c r="B26" s="6" t="s">
        <v>153</v>
      </c>
      <c r="C26" s="7" t="s">
        <v>154</v>
      </c>
      <c r="D26" s="8">
        <v>2163</v>
      </c>
      <c r="E26" s="15">
        <v>672</v>
      </c>
      <c r="F26" s="29">
        <f t="shared" si="0"/>
        <v>0.31067961165048541</v>
      </c>
      <c r="G26" s="26">
        <v>0.30858468700000002</v>
      </c>
    </row>
    <row r="27" spans="1:7" ht="15.95" customHeight="1" x14ac:dyDescent="0.3">
      <c r="A27" s="9" t="s">
        <v>120</v>
      </c>
      <c r="B27" s="9" t="s">
        <v>121</v>
      </c>
      <c r="C27" s="10" t="s">
        <v>122</v>
      </c>
      <c r="D27" s="11">
        <v>21595</v>
      </c>
      <c r="E27" s="16">
        <v>6604</v>
      </c>
      <c r="F27" s="29">
        <f t="shared" si="0"/>
        <v>0.30581153044686271</v>
      </c>
      <c r="G27" s="26">
        <v>0.30379925600000002</v>
      </c>
    </row>
    <row r="28" spans="1:7" ht="15.95" customHeight="1" x14ac:dyDescent="0.3">
      <c r="A28" s="9" t="s">
        <v>108</v>
      </c>
      <c r="B28" s="9" t="s">
        <v>109</v>
      </c>
      <c r="C28" s="10" t="s">
        <v>110</v>
      </c>
      <c r="D28" s="11">
        <v>5240</v>
      </c>
      <c r="E28" s="16">
        <v>1599</v>
      </c>
      <c r="F28" s="29">
        <f t="shared" si="0"/>
        <v>0.30515267175572519</v>
      </c>
      <c r="G28" s="26">
        <v>0.30721368900000001</v>
      </c>
    </row>
    <row r="29" spans="1:7" ht="15.95" customHeight="1" x14ac:dyDescent="0.3">
      <c r="A29" s="6" t="s">
        <v>69</v>
      </c>
      <c r="B29" s="6" t="s">
        <v>70</v>
      </c>
      <c r="C29" s="7" t="s">
        <v>71</v>
      </c>
      <c r="D29" s="8">
        <v>5539</v>
      </c>
      <c r="E29" s="15">
        <v>1672</v>
      </c>
      <c r="F29" s="29">
        <f t="shared" si="0"/>
        <v>0.30185954143347177</v>
      </c>
      <c r="G29" s="26">
        <v>0.30057908100000003</v>
      </c>
    </row>
    <row r="30" spans="1:7" ht="15.95" customHeight="1" x14ac:dyDescent="0.3">
      <c r="A30" s="6" t="s">
        <v>135</v>
      </c>
      <c r="B30" s="6" t="s">
        <v>136</v>
      </c>
      <c r="C30" s="7" t="s">
        <v>137</v>
      </c>
      <c r="D30" s="8">
        <v>11818</v>
      </c>
      <c r="E30" s="15">
        <v>3533</v>
      </c>
      <c r="F30" s="29">
        <f t="shared" si="0"/>
        <v>0.29895075308850905</v>
      </c>
      <c r="G30" s="26">
        <v>0.29748128000000001</v>
      </c>
    </row>
    <row r="31" spans="1:7" ht="15.95" customHeight="1" x14ac:dyDescent="0.3">
      <c r="A31" s="6" t="s">
        <v>57</v>
      </c>
      <c r="B31" s="6" t="s">
        <v>58</v>
      </c>
      <c r="C31" s="7" t="s">
        <v>59</v>
      </c>
      <c r="D31" s="8">
        <v>3470</v>
      </c>
      <c r="E31" s="15">
        <v>1005</v>
      </c>
      <c r="F31" s="29">
        <f t="shared" si="0"/>
        <v>0.28962536023054752</v>
      </c>
      <c r="G31" s="26">
        <v>0.29014492800000002</v>
      </c>
    </row>
    <row r="32" spans="1:7" ht="15.95" customHeight="1" x14ac:dyDescent="0.3">
      <c r="A32" s="9" t="s">
        <v>42</v>
      </c>
      <c r="B32" s="9" t="s">
        <v>43</v>
      </c>
      <c r="C32" s="10" t="s">
        <v>44</v>
      </c>
      <c r="D32" s="11">
        <v>9190</v>
      </c>
      <c r="E32" s="16">
        <v>2625</v>
      </c>
      <c r="F32" s="29">
        <f t="shared" si="0"/>
        <v>0.28563656147986943</v>
      </c>
      <c r="G32" s="26">
        <v>0.28447803700000002</v>
      </c>
    </row>
    <row r="33" spans="1:7" ht="15.95" customHeight="1" x14ac:dyDescent="0.3">
      <c r="A33" s="6" t="s">
        <v>99</v>
      </c>
      <c r="B33" s="6" t="s">
        <v>100</v>
      </c>
      <c r="C33" s="7" t="s">
        <v>101</v>
      </c>
      <c r="D33" s="8">
        <v>6868</v>
      </c>
      <c r="E33" s="15">
        <v>1958</v>
      </c>
      <c r="F33" s="29">
        <f t="shared" si="0"/>
        <v>0.28509027373325568</v>
      </c>
      <c r="G33" s="26">
        <v>0.28433523500000002</v>
      </c>
    </row>
    <row r="34" spans="1:7" ht="15.95" customHeight="1" x14ac:dyDescent="0.3">
      <c r="A34" s="9" t="s">
        <v>36</v>
      </c>
      <c r="B34" s="9" t="s">
        <v>37</v>
      </c>
      <c r="C34" s="10" t="s">
        <v>38</v>
      </c>
      <c r="D34" s="11">
        <v>6691</v>
      </c>
      <c r="E34" s="16">
        <v>1900</v>
      </c>
      <c r="F34" s="29">
        <f t="shared" si="0"/>
        <v>0.28396353310416977</v>
      </c>
      <c r="G34" s="26">
        <v>0.28388746799999998</v>
      </c>
    </row>
    <row r="35" spans="1:7" ht="15.95" customHeight="1" x14ac:dyDescent="0.3">
      <c r="A35" s="6" t="s">
        <v>105</v>
      </c>
      <c r="B35" s="6" t="s">
        <v>106</v>
      </c>
      <c r="C35" s="7" t="s">
        <v>107</v>
      </c>
      <c r="D35" s="8">
        <v>5761</v>
      </c>
      <c r="E35" s="15">
        <v>1610</v>
      </c>
      <c r="F35" s="29">
        <f t="shared" ref="F35:F56" si="1">E35/D35</f>
        <v>0.27946537059538273</v>
      </c>
      <c r="G35" s="26">
        <v>0.276350288</v>
      </c>
    </row>
    <row r="36" spans="1:7" ht="15.95" customHeight="1" x14ac:dyDescent="0.3">
      <c r="A36" s="9" t="s">
        <v>72</v>
      </c>
      <c r="B36" s="9" t="s">
        <v>73</v>
      </c>
      <c r="C36" s="10" t="s">
        <v>173</v>
      </c>
      <c r="D36" s="11">
        <v>1033</v>
      </c>
      <c r="E36" s="16">
        <v>283</v>
      </c>
      <c r="F36" s="29">
        <f t="shared" si="1"/>
        <v>0.27395934172313652</v>
      </c>
      <c r="G36" s="26">
        <v>0.27013752499999999</v>
      </c>
    </row>
    <row r="37" spans="1:7" ht="15.95" customHeight="1" x14ac:dyDescent="0.3">
      <c r="A37" s="6" t="s">
        <v>27</v>
      </c>
      <c r="B37" s="6" t="s">
        <v>28</v>
      </c>
      <c r="C37" s="7" t="s">
        <v>29</v>
      </c>
      <c r="D37" s="8">
        <v>2174</v>
      </c>
      <c r="E37" s="15">
        <v>594</v>
      </c>
      <c r="F37" s="29">
        <f t="shared" si="1"/>
        <v>0.27322907083716652</v>
      </c>
      <c r="G37" s="26">
        <v>0.27146171699999999</v>
      </c>
    </row>
    <row r="38" spans="1:7" ht="15.95" customHeight="1" x14ac:dyDescent="0.3">
      <c r="A38" s="9" t="s">
        <v>78</v>
      </c>
      <c r="B38" s="9" t="s">
        <v>79</v>
      </c>
      <c r="C38" s="10" t="s">
        <v>80</v>
      </c>
      <c r="D38" s="11">
        <v>8689</v>
      </c>
      <c r="E38" s="16">
        <v>2370</v>
      </c>
      <c r="F38" s="29">
        <f t="shared" si="1"/>
        <v>0.27275866037518703</v>
      </c>
      <c r="G38" s="26">
        <v>0.27337962999999998</v>
      </c>
    </row>
    <row r="39" spans="1:7" ht="15.95" customHeight="1" x14ac:dyDescent="0.3">
      <c r="A39" s="9" t="s">
        <v>167</v>
      </c>
      <c r="B39" s="9" t="s">
        <v>168</v>
      </c>
      <c r="C39" s="10" t="s">
        <v>169</v>
      </c>
      <c r="D39" s="11">
        <v>10204</v>
      </c>
      <c r="E39" s="16">
        <v>2765</v>
      </c>
      <c r="F39" s="29">
        <f t="shared" si="1"/>
        <v>0.27097216777734223</v>
      </c>
      <c r="G39" s="26">
        <v>0.26828797500000001</v>
      </c>
    </row>
    <row r="40" spans="1:7" ht="15.95" customHeight="1" x14ac:dyDescent="0.3">
      <c r="A40" s="9" t="s">
        <v>48</v>
      </c>
      <c r="B40" s="9" t="s">
        <v>49</v>
      </c>
      <c r="C40" s="10" t="s">
        <v>50</v>
      </c>
      <c r="D40" s="11">
        <v>5776</v>
      </c>
      <c r="E40" s="16">
        <v>1560</v>
      </c>
      <c r="F40" s="29">
        <f t="shared" si="1"/>
        <v>0.27008310249307477</v>
      </c>
      <c r="G40" s="26">
        <v>0.26957279899999997</v>
      </c>
    </row>
    <row r="41" spans="1:7" ht="15.95" customHeight="1" x14ac:dyDescent="0.3">
      <c r="A41" s="12" t="s">
        <v>132</v>
      </c>
      <c r="B41" s="12" t="s">
        <v>133</v>
      </c>
      <c r="C41" s="13" t="s">
        <v>134</v>
      </c>
      <c r="D41" s="14">
        <v>1126</v>
      </c>
      <c r="E41" s="17">
        <v>299</v>
      </c>
      <c r="F41" s="94">
        <f t="shared" si="1"/>
        <v>0.26554174067495562</v>
      </c>
      <c r="G41" s="27" t="s">
        <v>175</v>
      </c>
    </row>
    <row r="42" spans="1:7" ht="15.95" customHeight="1" x14ac:dyDescent="0.3">
      <c r="A42" s="6" t="s">
        <v>93</v>
      </c>
      <c r="B42" s="6" t="s">
        <v>94</v>
      </c>
      <c r="C42" s="7" t="s">
        <v>95</v>
      </c>
      <c r="D42" s="8">
        <v>1465</v>
      </c>
      <c r="E42" s="15">
        <v>384</v>
      </c>
      <c r="F42" s="29">
        <f t="shared" si="1"/>
        <v>0.2621160409556314</v>
      </c>
      <c r="G42" s="26">
        <v>0.26068965500000002</v>
      </c>
    </row>
    <row r="43" spans="1:7" ht="15.95" customHeight="1" x14ac:dyDescent="0.3">
      <c r="A43" s="6" t="s">
        <v>51</v>
      </c>
      <c r="B43" s="6" t="s">
        <v>52</v>
      </c>
      <c r="C43" s="7" t="s">
        <v>53</v>
      </c>
      <c r="D43" s="8">
        <v>1111</v>
      </c>
      <c r="E43" s="15">
        <v>290</v>
      </c>
      <c r="F43" s="29">
        <f t="shared" si="1"/>
        <v>0.26102610261026105</v>
      </c>
      <c r="G43" s="26">
        <v>0.26277372300000001</v>
      </c>
    </row>
    <row r="44" spans="1:7" ht="15.95" customHeight="1" x14ac:dyDescent="0.3">
      <c r="A44" s="6" t="s">
        <v>158</v>
      </c>
      <c r="B44" s="6" t="s">
        <v>159</v>
      </c>
      <c r="C44" s="7" t="s">
        <v>160</v>
      </c>
      <c r="D44" s="8">
        <v>1303</v>
      </c>
      <c r="E44" s="15">
        <v>330</v>
      </c>
      <c r="F44" s="29">
        <f t="shared" si="1"/>
        <v>0.25326170376055257</v>
      </c>
      <c r="G44" s="26">
        <v>0.255434783</v>
      </c>
    </row>
    <row r="45" spans="1:7" ht="15.95" customHeight="1" x14ac:dyDescent="0.3">
      <c r="A45" s="9" t="s">
        <v>114</v>
      </c>
      <c r="B45" s="9" t="s">
        <v>115</v>
      </c>
      <c r="C45" s="10" t="s">
        <v>116</v>
      </c>
      <c r="D45" s="11">
        <v>2050</v>
      </c>
      <c r="E45" s="16">
        <v>515</v>
      </c>
      <c r="F45" s="29">
        <f t="shared" si="1"/>
        <v>0.25121951219512195</v>
      </c>
      <c r="G45" s="26">
        <v>0.25061546000000001</v>
      </c>
    </row>
    <row r="46" spans="1:7" ht="15.95" customHeight="1" x14ac:dyDescent="0.3">
      <c r="A46" s="6" t="s">
        <v>45</v>
      </c>
      <c r="B46" s="6" t="s">
        <v>46</v>
      </c>
      <c r="C46" s="7" t="s">
        <v>47</v>
      </c>
      <c r="D46" s="8">
        <v>2800</v>
      </c>
      <c r="E46" s="15">
        <v>692</v>
      </c>
      <c r="F46" s="29">
        <f t="shared" si="1"/>
        <v>0.24714285714285714</v>
      </c>
      <c r="G46" s="26">
        <v>0.244765343</v>
      </c>
    </row>
    <row r="47" spans="1:7" ht="15.95" customHeight="1" x14ac:dyDescent="0.3">
      <c r="A47" s="9" t="s">
        <v>161</v>
      </c>
      <c r="B47" s="9" t="s">
        <v>162</v>
      </c>
      <c r="C47" s="10" t="s">
        <v>163</v>
      </c>
      <c r="D47" s="11">
        <v>2440</v>
      </c>
      <c r="E47" s="16">
        <v>600</v>
      </c>
      <c r="F47" s="29">
        <f t="shared" si="1"/>
        <v>0.24590163934426229</v>
      </c>
      <c r="G47" s="26">
        <v>0.24600246000000001</v>
      </c>
    </row>
    <row r="48" spans="1:7" ht="15.95" customHeight="1" x14ac:dyDescent="0.3">
      <c r="A48" s="6" t="s">
        <v>8</v>
      </c>
      <c r="B48" s="6" t="s">
        <v>9</v>
      </c>
      <c r="C48" s="7" t="s">
        <v>172</v>
      </c>
      <c r="D48" s="8">
        <v>10075</v>
      </c>
      <c r="E48" s="15">
        <v>2426</v>
      </c>
      <c r="F48" s="29">
        <f t="shared" si="1"/>
        <v>0.24079404466501242</v>
      </c>
      <c r="G48" s="26">
        <v>0.24035874400000001</v>
      </c>
    </row>
    <row r="49" spans="1:7" ht="15.95" customHeight="1" x14ac:dyDescent="0.3">
      <c r="A49" s="9" t="s">
        <v>66</v>
      </c>
      <c r="B49" s="9" t="s">
        <v>67</v>
      </c>
      <c r="C49" s="10" t="s">
        <v>68</v>
      </c>
      <c r="D49" s="11">
        <v>2916</v>
      </c>
      <c r="E49" s="16">
        <v>695</v>
      </c>
      <c r="F49" s="29">
        <f t="shared" si="1"/>
        <v>0.23834019204389575</v>
      </c>
      <c r="G49" s="26">
        <v>0.23852261</v>
      </c>
    </row>
    <row r="50" spans="1:7" ht="15.95" customHeight="1" x14ac:dyDescent="0.3">
      <c r="A50" s="9" t="s">
        <v>12</v>
      </c>
      <c r="B50" s="9" t="s">
        <v>13</v>
      </c>
      <c r="C50" s="10" t="s">
        <v>14</v>
      </c>
      <c r="D50" s="11">
        <v>3380</v>
      </c>
      <c r="E50" s="16">
        <v>783</v>
      </c>
      <c r="F50" s="29">
        <f t="shared" si="1"/>
        <v>0.23165680473372782</v>
      </c>
      <c r="G50" s="26">
        <v>0.23015165000000001</v>
      </c>
    </row>
    <row r="51" spans="1:7" ht="15.95" customHeight="1" x14ac:dyDescent="0.3">
      <c r="A51" s="9" t="s">
        <v>144</v>
      </c>
      <c r="B51" s="9" t="s">
        <v>145</v>
      </c>
      <c r="C51" s="10" t="s">
        <v>146</v>
      </c>
      <c r="D51" s="11">
        <v>910</v>
      </c>
      <c r="E51" s="16">
        <v>195</v>
      </c>
      <c r="F51" s="29">
        <f t="shared" si="1"/>
        <v>0.21428571428571427</v>
      </c>
      <c r="G51" s="26">
        <v>0.21878453</v>
      </c>
    </row>
    <row r="52" spans="1:7" ht="15.95" customHeight="1" x14ac:dyDescent="0.3">
      <c r="A52" s="9" t="s">
        <v>30</v>
      </c>
      <c r="B52" s="9" t="s">
        <v>31</v>
      </c>
      <c r="C52" s="10" t="s">
        <v>32</v>
      </c>
      <c r="D52" s="11">
        <v>2051</v>
      </c>
      <c r="E52" s="16">
        <v>426</v>
      </c>
      <c r="F52" s="29">
        <f t="shared" si="1"/>
        <v>0.20770355923939543</v>
      </c>
      <c r="G52" s="26">
        <v>0.20704845799999999</v>
      </c>
    </row>
    <row r="53" spans="1:7" ht="15.95" customHeight="1" x14ac:dyDescent="0.3">
      <c r="A53" s="6" t="s">
        <v>75</v>
      </c>
      <c r="B53" s="6" t="s">
        <v>76</v>
      </c>
      <c r="C53" s="7" t="s">
        <v>77</v>
      </c>
      <c r="D53" s="8">
        <v>4596</v>
      </c>
      <c r="E53" s="15">
        <v>925</v>
      </c>
      <c r="F53" s="29">
        <f t="shared" si="1"/>
        <v>0.20126196692776327</v>
      </c>
      <c r="G53" s="26">
        <v>0.200873362</v>
      </c>
    </row>
    <row r="54" spans="1:7" ht="15.95" customHeight="1" x14ac:dyDescent="0.3">
      <c r="A54" s="6" t="s">
        <v>39</v>
      </c>
      <c r="B54" s="6" t="s">
        <v>40</v>
      </c>
      <c r="C54" s="7" t="s">
        <v>41</v>
      </c>
      <c r="D54" s="8">
        <v>5622</v>
      </c>
      <c r="E54" s="15">
        <v>1103</v>
      </c>
      <c r="F54" s="29">
        <f t="shared" si="1"/>
        <v>0.19619352543578797</v>
      </c>
      <c r="G54" s="26">
        <v>0.19610296699999999</v>
      </c>
    </row>
    <row r="55" spans="1:7" ht="15.95" customHeight="1" x14ac:dyDescent="0.3">
      <c r="A55" s="9" t="s">
        <v>18</v>
      </c>
      <c r="B55" s="9" t="s">
        <v>19</v>
      </c>
      <c r="C55" s="10" t="s">
        <v>20</v>
      </c>
      <c r="D55" s="11">
        <v>4302</v>
      </c>
      <c r="E55" s="16">
        <v>831</v>
      </c>
      <c r="F55" s="29">
        <f t="shared" si="1"/>
        <v>0.19316596931659694</v>
      </c>
      <c r="G55" s="26">
        <v>0.19262199399999999</v>
      </c>
    </row>
    <row r="56" spans="1:7" ht="15.95" customHeight="1" x14ac:dyDescent="0.3">
      <c r="A56" s="6" t="s">
        <v>111</v>
      </c>
      <c r="B56" s="6" t="s">
        <v>112</v>
      </c>
      <c r="C56" s="7" t="s">
        <v>113</v>
      </c>
      <c r="D56" s="8">
        <v>1275</v>
      </c>
      <c r="E56" s="15">
        <v>184</v>
      </c>
      <c r="F56" s="29">
        <f t="shared" si="1"/>
        <v>0.14431372549019608</v>
      </c>
      <c r="G56" s="26">
        <v>0.14354450699999999</v>
      </c>
    </row>
  </sheetData>
  <autoFilter ref="A2:G2" xr:uid="{00000000-0001-0000-0300-000000000000}">
    <sortState xmlns:xlrd2="http://schemas.microsoft.com/office/spreadsheetml/2017/richdata2" ref="A3:G56">
      <sortCondition descending="1" ref="F2"/>
    </sortState>
  </autoFilter>
  <mergeCells count="1"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1365-5E4D-4FF0-B7C6-D592B0AF4B41}">
  <sheetPr codeName="Sheet5"/>
  <dimension ref="A1:X59"/>
  <sheetViews>
    <sheetView workbookViewId="0">
      <pane xSplit="3" ySplit="3" topLeftCell="D4" activePane="bottomRight" state="frozen"/>
      <selection activeCell="I9" sqref="I9"/>
      <selection pane="topRight" activeCell="I9" sqref="I9"/>
      <selection pane="bottomLeft" activeCell="I9" sqref="I9"/>
      <selection pane="bottomRight" activeCell="B15" sqref="B15"/>
    </sheetView>
  </sheetViews>
  <sheetFormatPr defaultRowHeight="16.5" x14ac:dyDescent="0.3"/>
  <cols>
    <col min="1" max="1" width="7.5" bestFit="1" customWidth="1"/>
    <col min="2" max="2" width="36.875" customWidth="1"/>
    <col min="3" max="3" width="12.25" bestFit="1" customWidth="1"/>
    <col min="4" max="6" width="9.625" bestFit="1" customWidth="1"/>
    <col min="7" max="7" width="8.125" bestFit="1" customWidth="1"/>
    <col min="8" max="10" width="6.25" bestFit="1" customWidth="1"/>
    <col min="11" max="13" width="8.5" bestFit="1" customWidth="1"/>
    <col min="14" max="16" width="9.125" bestFit="1" customWidth="1"/>
    <col min="17" max="17" width="8" bestFit="1" customWidth="1"/>
    <col min="18" max="18" width="8.625" bestFit="1" customWidth="1"/>
    <col min="19" max="19" width="8" bestFit="1" customWidth="1"/>
    <col min="20" max="20" width="4.5" style="93" bestFit="1" customWidth="1"/>
    <col min="21" max="21" width="8" bestFit="1" customWidth="1"/>
    <col min="22" max="22" width="8.625" bestFit="1" customWidth="1"/>
    <col min="23" max="23" width="8" bestFit="1" customWidth="1"/>
    <col min="24" max="24" width="4.5" bestFit="1" customWidth="1"/>
  </cols>
  <sheetData>
    <row r="1" spans="1:24" ht="27.95" customHeight="1" x14ac:dyDescent="0.3">
      <c r="A1" s="103" t="s">
        <v>209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4"/>
      <c r="U1" s="81"/>
      <c r="V1" s="81"/>
      <c r="W1" s="81"/>
      <c r="X1" s="81"/>
    </row>
    <row r="2" spans="1:24" ht="21.95" customHeight="1" x14ac:dyDescent="0.3">
      <c r="A2" s="101" t="s">
        <v>176</v>
      </c>
      <c r="B2" s="102"/>
      <c r="C2" s="102"/>
      <c r="D2" s="105" t="s">
        <v>192</v>
      </c>
      <c r="E2" s="102"/>
      <c r="F2" s="102"/>
      <c r="G2" s="102"/>
      <c r="H2" s="105" t="s">
        <v>193</v>
      </c>
      <c r="I2" s="102"/>
      <c r="J2" s="102"/>
      <c r="K2" s="105" t="s">
        <v>194</v>
      </c>
      <c r="L2" s="102"/>
      <c r="M2" s="102"/>
      <c r="N2" s="105" t="s">
        <v>206</v>
      </c>
      <c r="O2" s="102"/>
      <c r="P2" s="102"/>
      <c r="Q2" s="98" t="s">
        <v>204</v>
      </c>
      <c r="R2" s="99"/>
      <c r="S2" s="99"/>
      <c r="T2" s="100"/>
      <c r="U2" s="96" t="s">
        <v>212</v>
      </c>
      <c r="V2" s="97"/>
      <c r="W2" s="97"/>
      <c r="X2" s="97"/>
    </row>
    <row r="3" spans="1:24" ht="20.100000000000001" customHeight="1" x14ac:dyDescent="0.3">
      <c r="A3" s="84" t="s">
        <v>0</v>
      </c>
      <c r="B3" s="72" t="s">
        <v>177</v>
      </c>
      <c r="C3" s="72" t="s">
        <v>203</v>
      </c>
      <c r="D3" s="74" t="s">
        <v>178</v>
      </c>
      <c r="E3" s="85" t="s">
        <v>179</v>
      </c>
      <c r="F3" s="72" t="s">
        <v>180</v>
      </c>
      <c r="G3" s="72" t="s">
        <v>181</v>
      </c>
      <c r="H3" s="74" t="s">
        <v>195</v>
      </c>
      <c r="I3" s="86" t="s">
        <v>196</v>
      </c>
      <c r="J3" s="72" t="s">
        <v>197</v>
      </c>
      <c r="K3" s="75" t="s">
        <v>198</v>
      </c>
      <c r="L3" s="87" t="s">
        <v>199</v>
      </c>
      <c r="M3" s="73" t="s">
        <v>200</v>
      </c>
      <c r="N3" s="75" t="s">
        <v>182</v>
      </c>
      <c r="O3" s="87" t="s">
        <v>183</v>
      </c>
      <c r="P3" s="73" t="s">
        <v>184</v>
      </c>
      <c r="Q3" s="74" t="s">
        <v>186</v>
      </c>
      <c r="R3" s="85" t="s">
        <v>187</v>
      </c>
      <c r="S3" s="72" t="s">
        <v>188</v>
      </c>
      <c r="T3" s="89" t="s">
        <v>185</v>
      </c>
      <c r="U3" s="88" t="s">
        <v>186</v>
      </c>
      <c r="V3" s="82" t="s">
        <v>187</v>
      </c>
      <c r="W3" s="83" t="s">
        <v>188</v>
      </c>
      <c r="X3" s="83" t="s">
        <v>185</v>
      </c>
    </row>
    <row r="4" spans="1:24" x14ac:dyDescent="0.3">
      <c r="A4" s="38" t="s">
        <v>99</v>
      </c>
      <c r="B4" s="30" t="s">
        <v>100</v>
      </c>
      <c r="C4" s="30" t="s">
        <v>101</v>
      </c>
      <c r="D4" s="62">
        <v>2072</v>
      </c>
      <c r="E4" s="45">
        <v>2297</v>
      </c>
      <c r="F4" s="48">
        <v>136</v>
      </c>
      <c r="G4" s="48">
        <v>4505</v>
      </c>
      <c r="H4" s="65">
        <v>0.45993340732519422</v>
      </c>
      <c r="I4" s="31">
        <v>0.50987791342952271</v>
      </c>
      <c r="J4" s="51">
        <v>3.0188679245282998E-2</v>
      </c>
      <c r="K4" s="68">
        <v>2.898247226818655</v>
      </c>
      <c r="L4" s="32">
        <v>3.3515657068225631</v>
      </c>
      <c r="M4" s="54">
        <v>1.8465214271983299</v>
      </c>
      <c r="N4" s="68">
        <v>0.66919236425566897</v>
      </c>
      <c r="O4" s="32">
        <v>0.67826900803080303</v>
      </c>
      <c r="P4" s="54">
        <v>2.1792283275661999E-2</v>
      </c>
      <c r="Q4" s="70">
        <v>1.369253655562134</v>
      </c>
      <c r="R4" s="56">
        <v>2.5536305608470982</v>
      </c>
      <c r="S4" s="58">
        <v>5</v>
      </c>
      <c r="T4" s="90">
        <v>1</v>
      </c>
      <c r="U4" s="60">
        <v>1.4675199189999999</v>
      </c>
      <c r="V4" s="60">
        <v>2.8321630450000002</v>
      </c>
      <c r="W4" s="39">
        <v>5</v>
      </c>
      <c r="X4" s="40">
        <v>1</v>
      </c>
    </row>
    <row r="5" spans="1:24" x14ac:dyDescent="0.3">
      <c r="A5" s="41" t="s">
        <v>21</v>
      </c>
      <c r="B5" s="33" t="s">
        <v>22</v>
      </c>
      <c r="C5" s="33" t="s">
        <v>23</v>
      </c>
      <c r="D5" s="63">
        <v>1699</v>
      </c>
      <c r="E5" s="46">
        <v>2551</v>
      </c>
      <c r="F5" s="49">
        <v>714</v>
      </c>
      <c r="G5" s="49">
        <v>4964</v>
      </c>
      <c r="H5" s="66">
        <v>0.34226430298146648</v>
      </c>
      <c r="I5" s="34">
        <v>0.51390008058017722</v>
      </c>
      <c r="J5" s="52">
        <v>0.1438356164383561</v>
      </c>
      <c r="K5" s="68">
        <v>2.1405572372170369</v>
      </c>
      <c r="L5" s="32">
        <v>3.5626218787528079</v>
      </c>
      <c r="M5" s="54">
        <v>3.524156329198346</v>
      </c>
      <c r="N5" s="68">
        <v>0.36779772894132351</v>
      </c>
      <c r="O5" s="32">
        <v>0.72666869630695263</v>
      </c>
      <c r="P5" s="54">
        <v>0.1981645087871147</v>
      </c>
      <c r="Q5" s="70">
        <v>1.292630934035391</v>
      </c>
      <c r="R5" s="56">
        <v>2.0266599680047368</v>
      </c>
      <c r="S5" s="58">
        <v>4.4840966808962053</v>
      </c>
      <c r="T5" s="90">
        <v>2</v>
      </c>
      <c r="U5" s="60">
        <v>1.343564924</v>
      </c>
      <c r="V5" s="60">
        <v>2.0834285979999998</v>
      </c>
      <c r="W5" s="39">
        <v>4.3390789700000001</v>
      </c>
      <c r="X5" s="40">
        <v>2</v>
      </c>
    </row>
    <row r="6" spans="1:24" x14ac:dyDescent="0.3">
      <c r="A6" s="38" t="s">
        <v>48</v>
      </c>
      <c r="B6" s="30" t="s">
        <v>49</v>
      </c>
      <c r="C6" s="30" t="s">
        <v>50</v>
      </c>
      <c r="D6" s="62">
        <v>404</v>
      </c>
      <c r="E6" s="45">
        <v>687</v>
      </c>
      <c r="F6" s="48">
        <v>29</v>
      </c>
      <c r="G6" s="48">
        <v>1120</v>
      </c>
      <c r="H6" s="65">
        <v>0.36071428571428571</v>
      </c>
      <c r="I6" s="31">
        <v>0.61339285714285718</v>
      </c>
      <c r="J6" s="51">
        <v>2.5892857142857099E-2</v>
      </c>
      <c r="K6" s="68">
        <v>2.912926471218551</v>
      </c>
      <c r="L6" s="32">
        <v>3.0065184492040391</v>
      </c>
      <c r="M6" s="54">
        <v>2.54975369458128</v>
      </c>
      <c r="N6" s="68">
        <v>0.52748905982270189</v>
      </c>
      <c r="O6" s="32">
        <v>0.7319655189837726</v>
      </c>
      <c r="P6" s="54">
        <v>2.58096714382356E-2</v>
      </c>
      <c r="Q6" s="70">
        <v>1.28526425024471</v>
      </c>
      <c r="R6" s="56">
        <v>1.9759958092916809</v>
      </c>
      <c r="S6" s="58">
        <v>4.4344965552066746</v>
      </c>
      <c r="T6" s="90">
        <v>3</v>
      </c>
      <c r="U6" s="60">
        <v>1.29768756</v>
      </c>
      <c r="V6" s="60">
        <v>1.806312194</v>
      </c>
      <c r="W6" s="39">
        <v>4.094463459</v>
      </c>
      <c r="X6" s="40">
        <v>3</v>
      </c>
    </row>
    <row r="7" spans="1:24" x14ac:dyDescent="0.3">
      <c r="A7" s="41" t="s">
        <v>117</v>
      </c>
      <c r="B7" s="33" t="s">
        <v>118</v>
      </c>
      <c r="C7" s="33" t="s">
        <v>119</v>
      </c>
      <c r="D7" s="63">
        <v>893</v>
      </c>
      <c r="E7" s="46">
        <v>1132</v>
      </c>
      <c r="F7" s="49">
        <v>116</v>
      </c>
      <c r="G7" s="49">
        <v>2141</v>
      </c>
      <c r="H7" s="66">
        <v>0.41709481550677252</v>
      </c>
      <c r="I7" s="34">
        <v>0.52872489490892105</v>
      </c>
      <c r="J7" s="52">
        <v>5.4180289584306401E-2</v>
      </c>
      <c r="K7" s="68">
        <v>2.7544319280321519</v>
      </c>
      <c r="L7" s="32">
        <v>2.8822566273538008</v>
      </c>
      <c r="M7" s="54">
        <v>4.0430792387688941</v>
      </c>
      <c r="N7" s="68">
        <v>0.57674976675476919</v>
      </c>
      <c r="O7" s="32">
        <v>0.60485383902626777</v>
      </c>
      <c r="P7" s="54">
        <v>8.5636290331451495E-2</v>
      </c>
      <c r="Q7" s="70">
        <v>1.267239896112488</v>
      </c>
      <c r="R7" s="56">
        <v>1.8520338252561419</v>
      </c>
      <c r="S7" s="58">
        <v>4.3131379824983194</v>
      </c>
      <c r="T7" s="90">
        <v>4</v>
      </c>
      <c r="U7" s="60">
        <v>1.2647575120000001</v>
      </c>
      <c r="V7" s="60">
        <v>1.6074024090000001</v>
      </c>
      <c r="W7" s="39">
        <v>3.9188823030000002</v>
      </c>
      <c r="X7" s="40">
        <v>4</v>
      </c>
    </row>
    <row r="8" spans="1:24" x14ac:dyDescent="0.3">
      <c r="A8" s="38" t="s">
        <v>42</v>
      </c>
      <c r="B8" s="30" t="s">
        <v>43</v>
      </c>
      <c r="C8" s="30" t="s">
        <v>44</v>
      </c>
      <c r="D8" s="62">
        <v>1431</v>
      </c>
      <c r="E8" s="45">
        <v>2244</v>
      </c>
      <c r="F8" s="48">
        <v>478</v>
      </c>
      <c r="G8" s="48">
        <v>4153</v>
      </c>
      <c r="H8" s="65">
        <v>0.34457019022393448</v>
      </c>
      <c r="I8" s="31">
        <v>0.54033228991090776</v>
      </c>
      <c r="J8" s="51">
        <v>0.1150975198651577</v>
      </c>
      <c r="K8" s="68">
        <v>2.4056013111044559</v>
      </c>
      <c r="L8" s="32">
        <v>3.0585641074611658</v>
      </c>
      <c r="M8" s="54">
        <v>2.8087582570846168</v>
      </c>
      <c r="N8" s="68">
        <v>0.4161232162741843</v>
      </c>
      <c r="O8" s="32">
        <v>0.6559436689182454</v>
      </c>
      <c r="P8" s="54">
        <v>0.12638181806390911</v>
      </c>
      <c r="Q8" s="70">
        <v>1.1984487032563389</v>
      </c>
      <c r="R8" s="56">
        <v>1.378924348596716</v>
      </c>
      <c r="S8" s="58">
        <v>3.849964605039907</v>
      </c>
      <c r="T8" s="90">
        <v>5</v>
      </c>
      <c r="U8" s="60">
        <v>1.2260501420000001</v>
      </c>
      <c r="V8" s="60">
        <v>1.3735954480000001</v>
      </c>
      <c r="W8" s="39">
        <v>3.712496797</v>
      </c>
      <c r="X8" s="40">
        <v>6</v>
      </c>
    </row>
    <row r="9" spans="1:24" x14ac:dyDescent="0.3">
      <c r="A9" s="41" t="s">
        <v>72</v>
      </c>
      <c r="B9" s="33" t="s">
        <v>73</v>
      </c>
      <c r="C9" s="33" t="s">
        <v>173</v>
      </c>
      <c r="D9" s="63">
        <v>210</v>
      </c>
      <c r="E9" s="46">
        <v>273</v>
      </c>
      <c r="F9" s="49">
        <v>32</v>
      </c>
      <c r="G9" s="49">
        <v>515</v>
      </c>
      <c r="H9" s="66">
        <v>0.40776699029126212</v>
      </c>
      <c r="I9" s="34">
        <v>0.53009708737864081</v>
      </c>
      <c r="J9" s="52">
        <v>6.2135922330097001E-2</v>
      </c>
      <c r="K9" s="68">
        <v>2.524285714285714</v>
      </c>
      <c r="L9" s="32">
        <v>3.0670765742194321</v>
      </c>
      <c r="M9" s="54">
        <v>1.3901041666666669</v>
      </c>
      <c r="N9" s="68">
        <v>0.51673891298940988</v>
      </c>
      <c r="O9" s="32">
        <v>0.64530952039258327</v>
      </c>
      <c r="P9" s="54">
        <v>3.3767146755139699E-2</v>
      </c>
      <c r="Q9" s="70">
        <v>1.1958155801371331</v>
      </c>
      <c r="R9" s="56">
        <v>1.3608151190691451</v>
      </c>
      <c r="S9" s="58">
        <v>3.8322356999613629</v>
      </c>
      <c r="T9" s="90">
        <v>6</v>
      </c>
      <c r="U9" s="60">
        <v>1.0599738599999999</v>
      </c>
      <c r="V9" s="60">
        <v>0.370432704</v>
      </c>
      <c r="W9" s="39">
        <v>2.826987446</v>
      </c>
      <c r="X9" s="40">
        <v>15</v>
      </c>
    </row>
    <row r="10" spans="1:24" x14ac:dyDescent="0.3">
      <c r="A10" s="38" t="s">
        <v>111</v>
      </c>
      <c r="B10" s="30" t="s">
        <v>112</v>
      </c>
      <c r="C10" s="30" t="s">
        <v>113</v>
      </c>
      <c r="D10" s="62">
        <v>239</v>
      </c>
      <c r="E10" s="45">
        <v>384</v>
      </c>
      <c r="F10" s="48">
        <v>24</v>
      </c>
      <c r="G10" s="48">
        <v>647</v>
      </c>
      <c r="H10" s="65">
        <v>0.36939721792890262</v>
      </c>
      <c r="I10" s="31">
        <v>0.59350850077279749</v>
      </c>
      <c r="J10" s="51">
        <v>3.7094281298299801E-2</v>
      </c>
      <c r="K10" s="68">
        <v>2.6319037656903759</v>
      </c>
      <c r="L10" s="32">
        <v>2.7789372519841269</v>
      </c>
      <c r="M10" s="54">
        <v>2.0465277777777779</v>
      </c>
      <c r="N10" s="68">
        <v>0.4880723645001489</v>
      </c>
      <c r="O10" s="32">
        <v>0.65462670754525443</v>
      </c>
      <c r="P10" s="54">
        <v>2.9677606745957399E-2</v>
      </c>
      <c r="Q10" s="70">
        <v>1.172376678791361</v>
      </c>
      <c r="R10" s="56">
        <v>1.1996147402305499</v>
      </c>
      <c r="S10" s="58">
        <v>3.6744208017237718</v>
      </c>
      <c r="T10" s="90">
        <v>7</v>
      </c>
      <c r="U10" s="60">
        <v>1.2027502619999999</v>
      </c>
      <c r="V10" s="60">
        <v>1.232855474</v>
      </c>
      <c r="W10" s="39">
        <v>3.5882631530000002</v>
      </c>
      <c r="X10" s="40">
        <v>8</v>
      </c>
    </row>
    <row r="11" spans="1:24" x14ac:dyDescent="0.3">
      <c r="A11" s="41" t="s">
        <v>36</v>
      </c>
      <c r="B11" s="33" t="s">
        <v>37</v>
      </c>
      <c r="C11" s="33" t="s">
        <v>38</v>
      </c>
      <c r="D11" s="63">
        <v>600</v>
      </c>
      <c r="E11" s="46">
        <v>809</v>
      </c>
      <c r="F11" s="49">
        <v>236</v>
      </c>
      <c r="G11" s="49">
        <v>1645</v>
      </c>
      <c r="H11" s="66">
        <v>0.36474164133738601</v>
      </c>
      <c r="I11" s="34">
        <v>0.49179331306990881</v>
      </c>
      <c r="J11" s="52">
        <v>0.14346504559270509</v>
      </c>
      <c r="K11" s="68">
        <v>2.8627361111111109</v>
      </c>
      <c r="L11" s="32">
        <v>2.3522048580454018</v>
      </c>
      <c r="M11" s="54">
        <v>3.2308245897228951</v>
      </c>
      <c r="N11" s="68">
        <v>0.52418821955988748</v>
      </c>
      <c r="O11" s="32">
        <v>0.4591407056765015</v>
      </c>
      <c r="P11" s="54">
        <v>0.181202318939195</v>
      </c>
      <c r="Q11" s="70">
        <v>1.164531244175584</v>
      </c>
      <c r="R11" s="56">
        <v>1.1456579863042511</v>
      </c>
      <c r="S11" s="58">
        <v>3.621597230889392</v>
      </c>
      <c r="T11" s="90">
        <v>8</v>
      </c>
      <c r="U11" s="60">
        <v>1.2059968649999999</v>
      </c>
      <c r="V11" s="60">
        <v>1.2524661690000001</v>
      </c>
      <c r="W11" s="39">
        <v>3.605573857</v>
      </c>
      <c r="X11" s="40">
        <v>7</v>
      </c>
    </row>
    <row r="12" spans="1:24" x14ac:dyDescent="0.3">
      <c r="A12" s="38" t="s">
        <v>147</v>
      </c>
      <c r="B12" s="30" t="s">
        <v>148</v>
      </c>
      <c r="C12" s="30" t="s">
        <v>149</v>
      </c>
      <c r="D12" s="62">
        <v>357</v>
      </c>
      <c r="E12" s="45">
        <v>927</v>
      </c>
      <c r="F12" s="48">
        <v>147</v>
      </c>
      <c r="G12" s="48">
        <v>1431</v>
      </c>
      <c r="H12" s="65">
        <v>0.24947589098532491</v>
      </c>
      <c r="I12" s="31">
        <v>0.64779874213836475</v>
      </c>
      <c r="J12" s="51">
        <v>0.1027253668763102</v>
      </c>
      <c r="K12" s="68">
        <v>1.614635854341737</v>
      </c>
      <c r="L12" s="32">
        <v>3.3406555538432561</v>
      </c>
      <c r="M12" s="54">
        <v>2.5345804988662128</v>
      </c>
      <c r="N12" s="68">
        <v>0.20221984193581219</v>
      </c>
      <c r="O12" s="32">
        <v>0.85893408041946417</v>
      </c>
      <c r="P12" s="54">
        <v>0.1017860031123819</v>
      </c>
      <c r="Q12" s="70">
        <v>1.162939925467658</v>
      </c>
      <c r="R12" s="56">
        <v>1.134713737050143</v>
      </c>
      <c r="S12" s="58">
        <v>3.6108828293801172</v>
      </c>
      <c r="T12" s="90">
        <v>9</v>
      </c>
      <c r="U12" s="60">
        <v>1.226806048</v>
      </c>
      <c r="V12" s="60">
        <v>1.378161403</v>
      </c>
      <c r="W12" s="39">
        <v>3.716527245</v>
      </c>
      <c r="X12" s="40">
        <v>5</v>
      </c>
    </row>
    <row r="13" spans="1:24" x14ac:dyDescent="0.3">
      <c r="A13" s="41" t="s">
        <v>90</v>
      </c>
      <c r="B13" s="33" t="s">
        <v>91</v>
      </c>
      <c r="C13" s="33" t="s">
        <v>92</v>
      </c>
      <c r="D13" s="63">
        <v>1050</v>
      </c>
      <c r="E13" s="46">
        <v>2080</v>
      </c>
      <c r="F13" s="49">
        <v>269</v>
      </c>
      <c r="G13" s="49">
        <v>3399</v>
      </c>
      <c r="H13" s="66">
        <v>0.30891438658428949</v>
      </c>
      <c r="I13" s="34">
        <v>0.61194468961459247</v>
      </c>
      <c r="J13" s="52">
        <v>7.9140923801117896E-2</v>
      </c>
      <c r="K13" s="68">
        <v>2.0685740740740739</v>
      </c>
      <c r="L13" s="32">
        <v>2.9600100940725942</v>
      </c>
      <c r="M13" s="54">
        <v>2.876599237194033</v>
      </c>
      <c r="N13" s="68">
        <v>0.32079663482558107</v>
      </c>
      <c r="O13" s="32">
        <v>0.71894124252538882</v>
      </c>
      <c r="P13" s="54">
        <v>8.8998922214232501E-2</v>
      </c>
      <c r="Q13" s="70">
        <v>1.128736799565202</v>
      </c>
      <c r="R13" s="56">
        <v>0.89948270929829854</v>
      </c>
      <c r="S13" s="58">
        <v>3.380592051067794</v>
      </c>
      <c r="T13" s="90">
        <v>10</v>
      </c>
      <c r="U13" s="60">
        <v>1.197381724</v>
      </c>
      <c r="V13" s="60">
        <v>1.200427498</v>
      </c>
      <c r="W13" s="39">
        <v>3.5596384099999998</v>
      </c>
      <c r="X13" s="40">
        <v>9</v>
      </c>
    </row>
    <row r="14" spans="1:24" x14ac:dyDescent="0.3">
      <c r="A14" s="38" t="s">
        <v>126</v>
      </c>
      <c r="B14" s="30" t="s">
        <v>127</v>
      </c>
      <c r="C14" s="30" t="s">
        <v>128</v>
      </c>
      <c r="D14" s="62">
        <v>711</v>
      </c>
      <c r="E14" s="45">
        <v>1682</v>
      </c>
      <c r="F14" s="48">
        <v>179</v>
      </c>
      <c r="G14" s="48">
        <v>2572</v>
      </c>
      <c r="H14" s="65">
        <v>0.2764385692068429</v>
      </c>
      <c r="I14" s="31">
        <v>0.65396578538102645</v>
      </c>
      <c r="J14" s="51">
        <v>6.9595645412130605E-2</v>
      </c>
      <c r="K14" s="68">
        <v>2.138845355301052</v>
      </c>
      <c r="L14" s="32">
        <v>2.8714278636543802</v>
      </c>
      <c r="M14" s="54">
        <v>3.1686219739292372</v>
      </c>
      <c r="N14" s="68">
        <v>0.2968237267572339</v>
      </c>
      <c r="O14" s="32">
        <v>0.74531690702143716</v>
      </c>
      <c r="P14" s="54">
        <v>8.6209825760028405E-2</v>
      </c>
      <c r="Q14" s="70">
        <v>1.1283504595386999</v>
      </c>
      <c r="R14" s="56">
        <v>0.89682566672987685</v>
      </c>
      <c r="S14" s="58">
        <v>3.377990810887284</v>
      </c>
      <c r="T14" s="90">
        <v>11</v>
      </c>
      <c r="U14" s="60">
        <v>1.13383682</v>
      </c>
      <c r="V14" s="60">
        <v>0.81659255600000002</v>
      </c>
      <c r="W14" s="39">
        <v>3.2208205740000002</v>
      </c>
      <c r="X14" s="40">
        <v>11</v>
      </c>
    </row>
    <row r="15" spans="1:24" x14ac:dyDescent="0.3">
      <c r="A15" s="41" t="s">
        <v>33</v>
      </c>
      <c r="B15" s="33" t="s">
        <v>34</v>
      </c>
      <c r="C15" s="33" t="s">
        <v>35</v>
      </c>
      <c r="D15" s="63">
        <v>4146</v>
      </c>
      <c r="E15" s="46">
        <v>4397</v>
      </c>
      <c r="F15" s="49">
        <v>424</v>
      </c>
      <c r="G15" s="49">
        <v>8967</v>
      </c>
      <c r="H15" s="66">
        <v>0.46236199397791899</v>
      </c>
      <c r="I15" s="34">
        <v>0.49035351845656289</v>
      </c>
      <c r="J15" s="52">
        <v>4.7284487565518001E-2</v>
      </c>
      <c r="K15" s="68">
        <v>2.064076971609746</v>
      </c>
      <c r="L15" s="32">
        <v>2.9682593636368941</v>
      </c>
      <c r="M15" s="54">
        <v>2.6525581601261399</v>
      </c>
      <c r="N15" s="68">
        <v>0.47910268931906869</v>
      </c>
      <c r="O15" s="32">
        <v>0.57769575703222853</v>
      </c>
      <c r="P15" s="54">
        <v>4.9032933072312997E-2</v>
      </c>
      <c r="Q15" s="70">
        <v>1.1058313794236101</v>
      </c>
      <c r="R15" s="56">
        <v>0.74195133230191612</v>
      </c>
      <c r="S15" s="58">
        <v>3.2263690994281822</v>
      </c>
      <c r="T15" s="90">
        <v>12</v>
      </c>
      <c r="U15" s="60">
        <v>1.102088046</v>
      </c>
      <c r="V15" s="60">
        <v>0.62481810900000001</v>
      </c>
      <c r="W15" s="39">
        <v>3.051537905</v>
      </c>
      <c r="X15" s="40">
        <v>13</v>
      </c>
    </row>
    <row r="16" spans="1:24" x14ac:dyDescent="0.3">
      <c r="A16" s="38" t="s">
        <v>24</v>
      </c>
      <c r="B16" s="30" t="s">
        <v>25</v>
      </c>
      <c r="C16" s="30" t="s">
        <v>26</v>
      </c>
      <c r="D16" s="62">
        <v>244</v>
      </c>
      <c r="E16" s="45">
        <v>357</v>
      </c>
      <c r="F16" s="48">
        <v>164</v>
      </c>
      <c r="G16" s="48">
        <v>765</v>
      </c>
      <c r="H16" s="65">
        <v>0.31895424836601299</v>
      </c>
      <c r="I16" s="31">
        <v>0.46666666666666667</v>
      </c>
      <c r="J16" s="51">
        <v>0.21437908496732019</v>
      </c>
      <c r="K16" s="68">
        <v>2.0956967213114752</v>
      </c>
      <c r="L16" s="32">
        <v>3.0213196389666979</v>
      </c>
      <c r="M16" s="54">
        <v>2.432229965156794</v>
      </c>
      <c r="N16" s="68">
        <v>0.33556558751628901</v>
      </c>
      <c r="O16" s="32">
        <v>0.55961776167205457</v>
      </c>
      <c r="P16" s="54">
        <v>0.20384089548702081</v>
      </c>
      <c r="Q16" s="70">
        <v>1.099024244675364</v>
      </c>
      <c r="R16" s="56">
        <v>0.69513545624889728</v>
      </c>
      <c r="S16" s="58">
        <v>3.1805364359540569</v>
      </c>
      <c r="T16" s="90">
        <v>13</v>
      </c>
      <c r="U16" s="60">
        <v>1.149559182</v>
      </c>
      <c r="V16" s="60">
        <v>0.91156149099999995</v>
      </c>
      <c r="W16" s="39">
        <v>3.3046513179999999</v>
      </c>
      <c r="X16" s="40">
        <v>10</v>
      </c>
    </row>
    <row r="17" spans="1:24" x14ac:dyDescent="0.3">
      <c r="A17" s="41" t="s">
        <v>158</v>
      </c>
      <c r="B17" s="33" t="s">
        <v>159</v>
      </c>
      <c r="C17" s="33" t="s">
        <v>160</v>
      </c>
      <c r="D17" s="63">
        <v>768</v>
      </c>
      <c r="E17" s="46">
        <v>959</v>
      </c>
      <c r="F17" s="49">
        <v>146</v>
      </c>
      <c r="G17" s="49">
        <v>1873</v>
      </c>
      <c r="H17" s="66">
        <v>0.41003737319807793</v>
      </c>
      <c r="I17" s="34">
        <v>0.5120128136679124</v>
      </c>
      <c r="J17" s="52">
        <v>7.7949813134009602E-2</v>
      </c>
      <c r="K17" s="68">
        <v>2.330046606316138</v>
      </c>
      <c r="L17" s="32">
        <v>2.611118070320364</v>
      </c>
      <c r="M17" s="54">
        <v>2.8236301369863011</v>
      </c>
      <c r="N17" s="68">
        <v>0.47963254358062751</v>
      </c>
      <c r="O17" s="32">
        <v>0.53063436890416726</v>
      </c>
      <c r="P17" s="54">
        <v>8.6045300948766001E-2</v>
      </c>
      <c r="Q17" s="70">
        <v>1.096312213433561</v>
      </c>
      <c r="R17" s="56">
        <v>0.67648353834747765</v>
      </c>
      <c r="S17" s="58">
        <v>3.1622762398753879</v>
      </c>
      <c r="T17" s="90">
        <v>14</v>
      </c>
      <c r="U17" s="60">
        <v>1.111806582</v>
      </c>
      <c r="V17" s="60">
        <v>0.68352169399999996</v>
      </c>
      <c r="W17" s="39">
        <v>3.1033565900000002</v>
      </c>
      <c r="X17" s="40">
        <v>12</v>
      </c>
    </row>
    <row r="18" spans="1:24" x14ac:dyDescent="0.3">
      <c r="A18" s="38" t="s">
        <v>141</v>
      </c>
      <c r="B18" s="30" t="s">
        <v>142</v>
      </c>
      <c r="C18" s="30" t="s">
        <v>143</v>
      </c>
      <c r="D18" s="62">
        <v>385</v>
      </c>
      <c r="E18" s="45">
        <v>448</v>
      </c>
      <c r="F18" s="48">
        <v>51</v>
      </c>
      <c r="G18" s="48">
        <v>884</v>
      </c>
      <c r="H18" s="65">
        <v>0.43552036199095018</v>
      </c>
      <c r="I18" s="31">
        <v>0.50678733031674206</v>
      </c>
      <c r="J18" s="51">
        <v>5.7692307692307598E-2</v>
      </c>
      <c r="K18" s="68">
        <v>1.935640074211503</v>
      </c>
      <c r="L18" s="32">
        <v>2.7735570790816331</v>
      </c>
      <c r="M18" s="54">
        <v>2.9178493619670092</v>
      </c>
      <c r="N18" s="68">
        <v>0.42320779809378961</v>
      </c>
      <c r="O18" s="32">
        <v>0.5578929745085921</v>
      </c>
      <c r="P18" s="54">
        <v>6.5808963267026593E-2</v>
      </c>
      <c r="Q18" s="70">
        <v>1.0469097358694079</v>
      </c>
      <c r="R18" s="56">
        <v>0.33671940088106489</v>
      </c>
      <c r="S18" s="58">
        <v>2.829647723954015</v>
      </c>
      <c r="T18" s="90">
        <v>15</v>
      </c>
      <c r="U18" s="60">
        <v>1.0371173810000001</v>
      </c>
      <c r="V18" s="60">
        <v>0.232371038</v>
      </c>
      <c r="W18" s="39">
        <v>2.7051179919999999</v>
      </c>
      <c r="X18" s="40">
        <v>18</v>
      </c>
    </row>
    <row r="19" spans="1:24" x14ac:dyDescent="0.3">
      <c r="A19" s="41" t="s">
        <v>108</v>
      </c>
      <c r="B19" s="33" t="s">
        <v>109</v>
      </c>
      <c r="C19" s="33" t="s">
        <v>110</v>
      </c>
      <c r="D19" s="63">
        <v>1083</v>
      </c>
      <c r="E19" s="46">
        <v>1647</v>
      </c>
      <c r="F19" s="49">
        <v>171</v>
      </c>
      <c r="G19" s="49">
        <v>2901</v>
      </c>
      <c r="H19" s="66">
        <v>0.37331954498448811</v>
      </c>
      <c r="I19" s="34">
        <v>0.56773526370217164</v>
      </c>
      <c r="J19" s="52">
        <v>5.8945191313340202E-2</v>
      </c>
      <c r="K19" s="68">
        <v>2.3759245268940559</v>
      </c>
      <c r="L19" s="32">
        <v>2.367846782509806</v>
      </c>
      <c r="M19" s="54">
        <v>2.7777731365450662</v>
      </c>
      <c r="N19" s="68">
        <v>0.44528079128762121</v>
      </c>
      <c r="O19" s="32">
        <v>0.53356520766025983</v>
      </c>
      <c r="P19" s="54">
        <v>6.4010235666269802E-2</v>
      </c>
      <c r="Q19" s="70">
        <v>1.042856234614151</v>
      </c>
      <c r="R19" s="56">
        <v>0.30884156103137089</v>
      </c>
      <c r="S19" s="58">
        <v>2.8023553658922</v>
      </c>
      <c r="T19" s="90">
        <v>16</v>
      </c>
      <c r="U19" s="60">
        <v>1.029322187</v>
      </c>
      <c r="V19" s="60">
        <v>0.18528515800000001</v>
      </c>
      <c r="W19" s="39">
        <v>2.6635544599999998</v>
      </c>
      <c r="X19" s="40">
        <v>20</v>
      </c>
    </row>
    <row r="20" spans="1:24" x14ac:dyDescent="0.3">
      <c r="A20" s="38" t="s">
        <v>75</v>
      </c>
      <c r="B20" s="30" t="s">
        <v>76</v>
      </c>
      <c r="C20" s="30" t="s">
        <v>77</v>
      </c>
      <c r="D20" s="62">
        <v>1962</v>
      </c>
      <c r="E20" s="45">
        <v>1997</v>
      </c>
      <c r="F20" s="48">
        <v>647</v>
      </c>
      <c r="G20" s="48">
        <v>4606</v>
      </c>
      <c r="H20" s="65">
        <v>0.42596613113330439</v>
      </c>
      <c r="I20" s="31">
        <v>0.4335649153278332</v>
      </c>
      <c r="J20" s="51">
        <v>0.1404689535388623</v>
      </c>
      <c r="K20" s="68">
        <v>2.0761811724349948</v>
      </c>
      <c r="L20" s="32">
        <v>2.556563217842637</v>
      </c>
      <c r="M20" s="54">
        <v>2.8873923603444478</v>
      </c>
      <c r="N20" s="68">
        <v>0.44397744737051847</v>
      </c>
      <c r="O20" s="32">
        <v>0.43994532082281551</v>
      </c>
      <c r="P20" s="54">
        <v>0.1585588258165149</v>
      </c>
      <c r="Q20" s="70">
        <v>1.0424815940098491</v>
      </c>
      <c r="R20" s="56">
        <v>0.30626498090712018</v>
      </c>
      <c r="S20" s="58">
        <v>2.7998328983084431</v>
      </c>
      <c r="T20" s="90">
        <v>17</v>
      </c>
      <c r="U20" s="60">
        <v>1.0108480070000001</v>
      </c>
      <c r="V20" s="60">
        <v>7.3694217000000006E-2</v>
      </c>
      <c r="W20" s="39">
        <v>2.565051178</v>
      </c>
      <c r="X20" s="40">
        <v>24</v>
      </c>
    </row>
    <row r="21" spans="1:24" x14ac:dyDescent="0.3">
      <c r="A21" s="41" t="s">
        <v>155</v>
      </c>
      <c r="B21" s="33" t="s">
        <v>156</v>
      </c>
      <c r="C21" s="33" t="s">
        <v>157</v>
      </c>
      <c r="D21" s="63">
        <v>2998</v>
      </c>
      <c r="E21" s="46">
        <v>3530</v>
      </c>
      <c r="F21" s="49">
        <v>515</v>
      </c>
      <c r="G21" s="49">
        <v>7043</v>
      </c>
      <c r="H21" s="66">
        <v>0.42567087888683802</v>
      </c>
      <c r="I21" s="34">
        <v>0.50120687207156045</v>
      </c>
      <c r="J21" s="52">
        <v>7.31222490416015E-2</v>
      </c>
      <c r="K21" s="68">
        <v>1.806180178319938</v>
      </c>
      <c r="L21" s="32">
        <v>2.7820722698768021</v>
      </c>
      <c r="M21" s="54">
        <v>3.272254514633155</v>
      </c>
      <c r="N21" s="68">
        <v>0.38597182562003368</v>
      </c>
      <c r="O21" s="32">
        <v>0.55344371504154621</v>
      </c>
      <c r="P21" s="54">
        <v>9.3540758497518098E-2</v>
      </c>
      <c r="Q21" s="70">
        <v>1.0329562991590979</v>
      </c>
      <c r="R21" s="56">
        <v>0.24075503588713421</v>
      </c>
      <c r="S21" s="58">
        <v>2.7356987729337701</v>
      </c>
      <c r="T21" s="90">
        <v>18</v>
      </c>
      <c r="U21" s="60">
        <v>1.031620684</v>
      </c>
      <c r="V21" s="60">
        <v>0.19916893899999999</v>
      </c>
      <c r="W21" s="39">
        <v>2.675809916</v>
      </c>
      <c r="X21" s="40">
        <v>19</v>
      </c>
    </row>
    <row r="22" spans="1:24" x14ac:dyDescent="0.3">
      <c r="A22" s="38" t="s">
        <v>8</v>
      </c>
      <c r="B22" s="30" t="s">
        <v>9</v>
      </c>
      <c r="C22" s="30" t="s">
        <v>172</v>
      </c>
      <c r="D22" s="62">
        <v>676</v>
      </c>
      <c r="E22" s="45">
        <v>662</v>
      </c>
      <c r="F22" s="48">
        <v>34</v>
      </c>
      <c r="G22" s="48">
        <v>1372</v>
      </c>
      <c r="H22" s="65">
        <v>0.49271137026239059</v>
      </c>
      <c r="I22" s="31">
        <v>0.48250728862973757</v>
      </c>
      <c r="J22" s="51">
        <v>2.47813411078717E-2</v>
      </c>
      <c r="K22" s="68">
        <v>2.1643068469991551</v>
      </c>
      <c r="L22" s="32">
        <v>2.413425689785206</v>
      </c>
      <c r="M22" s="54">
        <v>3.4876567620512251</v>
      </c>
      <c r="N22" s="68">
        <v>0.53534285421052008</v>
      </c>
      <c r="O22" s="32">
        <v>0.4621956404778943</v>
      </c>
      <c r="P22" s="54">
        <v>3.3788025546566798E-2</v>
      </c>
      <c r="Q22" s="70">
        <v>1.0313265202349811</v>
      </c>
      <c r="R22" s="56">
        <v>0.22954627758762669</v>
      </c>
      <c r="S22" s="58">
        <v>2.7247254175164248</v>
      </c>
      <c r="T22" s="90">
        <v>19</v>
      </c>
      <c r="U22" s="60">
        <v>1.0491410859999999</v>
      </c>
      <c r="V22" s="60">
        <v>0.30499870800000001</v>
      </c>
      <c r="W22" s="39">
        <v>2.76922771</v>
      </c>
      <c r="X22" s="40">
        <v>16</v>
      </c>
    </row>
    <row r="23" spans="1:24" x14ac:dyDescent="0.3">
      <c r="A23" s="41" t="s">
        <v>114</v>
      </c>
      <c r="B23" s="33" t="s">
        <v>115</v>
      </c>
      <c r="C23" s="33" t="s">
        <v>116</v>
      </c>
      <c r="D23" s="63">
        <v>693</v>
      </c>
      <c r="E23" s="46">
        <v>985</v>
      </c>
      <c r="F23" s="49">
        <v>303</v>
      </c>
      <c r="G23" s="49">
        <v>1981</v>
      </c>
      <c r="H23" s="66">
        <v>0.34982332155477031</v>
      </c>
      <c r="I23" s="34">
        <v>0.49722362443210499</v>
      </c>
      <c r="J23" s="52">
        <v>0.15295305401312459</v>
      </c>
      <c r="K23" s="68">
        <v>1.7699512128083561</v>
      </c>
      <c r="L23" s="32">
        <v>2.658003860211982</v>
      </c>
      <c r="M23" s="54">
        <v>2.997499869034522</v>
      </c>
      <c r="N23" s="68">
        <v>0.31083552415477628</v>
      </c>
      <c r="O23" s="32">
        <v>0.52456027428993102</v>
      </c>
      <c r="P23" s="54">
        <v>0.1792344950703047</v>
      </c>
      <c r="Q23" s="70">
        <v>1.014630293515012</v>
      </c>
      <c r="R23" s="56">
        <v>0.1147184521392464</v>
      </c>
      <c r="S23" s="58">
        <v>2.6123091706158861</v>
      </c>
      <c r="T23" s="90">
        <v>20</v>
      </c>
      <c r="U23" s="60">
        <v>0.98028108599999997</v>
      </c>
      <c r="V23" s="60">
        <v>-0.110941401</v>
      </c>
      <c r="W23" s="39">
        <v>2.3781949670000002</v>
      </c>
      <c r="X23" s="40">
        <v>28</v>
      </c>
    </row>
    <row r="24" spans="1:24" x14ac:dyDescent="0.3">
      <c r="A24" s="38" t="s">
        <v>102</v>
      </c>
      <c r="B24" s="30" t="s">
        <v>103</v>
      </c>
      <c r="C24" s="30" t="s">
        <v>174</v>
      </c>
      <c r="D24" s="62">
        <v>253</v>
      </c>
      <c r="E24" s="45">
        <v>386</v>
      </c>
      <c r="F24" s="48">
        <v>36</v>
      </c>
      <c r="G24" s="48">
        <v>675</v>
      </c>
      <c r="H24" s="65">
        <v>0.37481481481481482</v>
      </c>
      <c r="I24" s="31">
        <v>0.57185185185185183</v>
      </c>
      <c r="J24" s="51">
        <v>5.3333333333333302E-2</v>
      </c>
      <c r="K24" s="68">
        <v>1.8089779785431961</v>
      </c>
      <c r="L24" s="32">
        <v>2.7788613372810258</v>
      </c>
      <c r="M24" s="54">
        <v>2.0125000000000002</v>
      </c>
      <c r="N24" s="68">
        <v>0.34038516227057042</v>
      </c>
      <c r="O24" s="32">
        <v>0.63072267382111991</v>
      </c>
      <c r="P24" s="54">
        <v>4.196032930989E-2</v>
      </c>
      <c r="Q24" s="70">
        <v>1.0130681654015801</v>
      </c>
      <c r="R24" s="56">
        <v>0.1039749603703784</v>
      </c>
      <c r="S24" s="58">
        <v>2.6017913103451109</v>
      </c>
      <c r="T24" s="90">
        <v>21</v>
      </c>
      <c r="U24" s="60">
        <v>0.92170808400000004</v>
      </c>
      <c r="V24" s="60">
        <v>-0.4647442</v>
      </c>
      <c r="W24" s="39">
        <v>1.9897469999999999</v>
      </c>
      <c r="X24" s="40">
        <v>36</v>
      </c>
    </row>
    <row r="25" spans="1:24" x14ac:dyDescent="0.3">
      <c r="A25" s="42" t="s">
        <v>132</v>
      </c>
      <c r="B25" s="35" t="s">
        <v>133</v>
      </c>
      <c r="C25" s="35" t="s">
        <v>134</v>
      </c>
      <c r="D25" s="64">
        <v>534</v>
      </c>
      <c r="E25" s="47">
        <v>853</v>
      </c>
      <c r="F25" s="50">
        <v>82</v>
      </c>
      <c r="G25" s="50">
        <v>1469</v>
      </c>
      <c r="H25" s="67">
        <v>0.36351259360108917</v>
      </c>
      <c r="I25" s="36">
        <v>0.58066712049012936</v>
      </c>
      <c r="J25" s="53">
        <v>5.5820285908781402E-2</v>
      </c>
      <c r="K25" s="69">
        <v>2.2842726353962308</v>
      </c>
      <c r="L25" s="37">
        <v>2.3383769025035139</v>
      </c>
      <c r="M25" s="55">
        <v>2.3878048780487799</v>
      </c>
      <c r="N25" s="69">
        <v>0.41685785596378372</v>
      </c>
      <c r="O25" s="37">
        <v>0.53892680310220942</v>
      </c>
      <c r="P25" s="55">
        <v>5.2106891147122102E-2</v>
      </c>
      <c r="Q25" s="71">
        <v>1.0078915502131149</v>
      </c>
      <c r="R25" s="57">
        <v>6.8372936317628794E-2</v>
      </c>
      <c r="S25" s="59">
        <v>2.5669369890127611</v>
      </c>
      <c r="T25" s="91">
        <v>22</v>
      </c>
      <c r="U25" s="61" t="s">
        <v>205</v>
      </c>
      <c r="V25" s="61" t="s">
        <v>205</v>
      </c>
      <c r="W25" s="43" t="s">
        <v>205</v>
      </c>
      <c r="X25" s="44" t="s">
        <v>205</v>
      </c>
    </row>
    <row r="26" spans="1:24" x14ac:dyDescent="0.3">
      <c r="A26" s="38" t="s">
        <v>120</v>
      </c>
      <c r="B26" s="30" t="s">
        <v>121</v>
      </c>
      <c r="C26" s="30" t="s">
        <v>122</v>
      </c>
      <c r="D26" s="62">
        <v>3644</v>
      </c>
      <c r="E26" s="45">
        <v>3271</v>
      </c>
      <c r="F26" s="48">
        <v>329</v>
      </c>
      <c r="G26" s="48">
        <v>7244</v>
      </c>
      <c r="H26" s="65">
        <v>0.50303699613473218</v>
      </c>
      <c r="I26" s="31">
        <v>0.45154610712313631</v>
      </c>
      <c r="J26" s="51">
        <v>4.5416896742131403E-2</v>
      </c>
      <c r="K26" s="68">
        <v>1.9137036193773289</v>
      </c>
      <c r="L26" s="32">
        <v>2.6408773069045162</v>
      </c>
      <c r="M26" s="54">
        <v>2.72499184178292</v>
      </c>
      <c r="N26" s="68">
        <v>0.48327596535780798</v>
      </c>
      <c r="O26" s="32">
        <v>0.47330202505916757</v>
      </c>
      <c r="P26" s="54">
        <v>4.8382347195173397E-2</v>
      </c>
      <c r="Q26" s="70">
        <v>1.004960337612149</v>
      </c>
      <c r="R26" s="56">
        <v>4.8213604838662397E-2</v>
      </c>
      <c r="S26" s="58">
        <v>2.5472010375912291</v>
      </c>
      <c r="T26" s="90">
        <v>23</v>
      </c>
      <c r="U26" s="60">
        <v>1.019123445</v>
      </c>
      <c r="V26" s="60">
        <v>0.123680947</v>
      </c>
      <c r="W26" s="39">
        <v>2.6091753409999998</v>
      </c>
      <c r="X26" s="40">
        <v>21</v>
      </c>
    </row>
    <row r="27" spans="1:24" x14ac:dyDescent="0.3">
      <c r="A27" s="41" t="s">
        <v>123</v>
      </c>
      <c r="B27" s="33" t="s">
        <v>124</v>
      </c>
      <c r="C27" s="33" t="s">
        <v>125</v>
      </c>
      <c r="D27" s="63">
        <v>302</v>
      </c>
      <c r="E27" s="46">
        <v>766</v>
      </c>
      <c r="F27" s="49">
        <v>52</v>
      </c>
      <c r="G27" s="49">
        <v>1120</v>
      </c>
      <c r="H27" s="66">
        <v>0.26964285714285707</v>
      </c>
      <c r="I27" s="34">
        <v>0.68392857142857144</v>
      </c>
      <c r="J27" s="52">
        <v>4.6428571428571402E-2</v>
      </c>
      <c r="K27" s="68">
        <v>1.9016004415011041</v>
      </c>
      <c r="L27" s="32">
        <v>2.6597916407642259</v>
      </c>
      <c r="M27" s="54">
        <v>1.350732600732601</v>
      </c>
      <c r="N27" s="68">
        <v>0.25741199586418972</v>
      </c>
      <c r="O27" s="32">
        <v>0.72201529756012062</v>
      </c>
      <c r="P27" s="54">
        <v>2.4516528446289002E-2</v>
      </c>
      <c r="Q27" s="70">
        <v>1.0039438218705989</v>
      </c>
      <c r="R27" s="56">
        <v>4.1222546673611103E-2</v>
      </c>
      <c r="S27" s="58">
        <v>2.540356803471933</v>
      </c>
      <c r="T27" s="90">
        <v>24</v>
      </c>
      <c r="U27" s="60">
        <v>1.066884875</v>
      </c>
      <c r="V27" s="60">
        <v>0.41217781399999998</v>
      </c>
      <c r="W27" s="39">
        <v>2.8638365870000002</v>
      </c>
      <c r="X27" s="40">
        <v>14</v>
      </c>
    </row>
    <row r="28" spans="1:24" x14ac:dyDescent="0.3">
      <c r="A28" s="38" t="s">
        <v>39</v>
      </c>
      <c r="B28" s="30" t="s">
        <v>40</v>
      </c>
      <c r="C28" s="30" t="s">
        <v>41</v>
      </c>
      <c r="D28" s="62">
        <v>460</v>
      </c>
      <c r="E28" s="45">
        <v>474</v>
      </c>
      <c r="F28" s="48">
        <v>41</v>
      </c>
      <c r="G28" s="48">
        <v>975</v>
      </c>
      <c r="H28" s="65">
        <v>0.47179487179487178</v>
      </c>
      <c r="I28" s="31">
        <v>0.4861538461538461</v>
      </c>
      <c r="J28" s="51">
        <v>4.2051282051282002E-2</v>
      </c>
      <c r="K28" s="68">
        <v>1.7514803312629399</v>
      </c>
      <c r="L28" s="32">
        <v>2.8318642269591638</v>
      </c>
      <c r="M28" s="54">
        <v>2.509053954175906</v>
      </c>
      <c r="N28" s="68">
        <v>0.41483851671536959</v>
      </c>
      <c r="O28" s="32">
        <v>0.54642956456539826</v>
      </c>
      <c r="P28" s="54">
        <v>4.1247108811405697E-2</v>
      </c>
      <c r="Q28" s="70">
        <v>1.002515190092174</v>
      </c>
      <c r="R28" s="56">
        <v>3.1397172160286001E-2</v>
      </c>
      <c r="S28" s="58">
        <v>2.5307377784414822</v>
      </c>
      <c r="T28" s="90">
        <v>25</v>
      </c>
      <c r="U28" s="60">
        <v>0.98385134100000005</v>
      </c>
      <c r="V28" s="60">
        <v>-8.937573E-2</v>
      </c>
      <c r="W28" s="39">
        <v>2.401872397</v>
      </c>
      <c r="X28" s="40">
        <v>27</v>
      </c>
    </row>
    <row r="29" spans="1:24" x14ac:dyDescent="0.3">
      <c r="A29" s="41" t="s">
        <v>135</v>
      </c>
      <c r="B29" s="33" t="s">
        <v>136</v>
      </c>
      <c r="C29" s="33" t="s">
        <v>137</v>
      </c>
      <c r="D29" s="63">
        <v>2326</v>
      </c>
      <c r="E29" s="46">
        <v>2428</v>
      </c>
      <c r="F29" s="49">
        <v>280</v>
      </c>
      <c r="G29" s="49">
        <v>5034</v>
      </c>
      <c r="H29" s="66">
        <v>0.46205800556217719</v>
      </c>
      <c r="I29" s="34">
        <v>0.48232022248708778</v>
      </c>
      <c r="J29" s="52">
        <v>5.5621771950734998E-2</v>
      </c>
      <c r="K29" s="68">
        <v>1.9854199934487979</v>
      </c>
      <c r="L29" s="32">
        <v>2.4505982096797578</v>
      </c>
      <c r="M29" s="54">
        <v>3.0018934434744562</v>
      </c>
      <c r="N29" s="68">
        <v>0.460542254093596</v>
      </c>
      <c r="O29" s="32">
        <v>0.46913260588456668</v>
      </c>
      <c r="P29" s="54">
        <v>6.52746216724817E-2</v>
      </c>
      <c r="Q29" s="70">
        <v>0.99494948165064445</v>
      </c>
      <c r="R29" s="56">
        <v>-2.0635772940907699E-2</v>
      </c>
      <c r="S29" s="58">
        <v>2.479797613193055</v>
      </c>
      <c r="T29" s="90">
        <v>26</v>
      </c>
      <c r="U29" s="60">
        <v>1.0128591769999999</v>
      </c>
      <c r="V29" s="60">
        <v>8.5842429999999997E-2</v>
      </c>
      <c r="W29" s="39">
        <v>2.5757746190000002</v>
      </c>
      <c r="X29" s="40">
        <v>22</v>
      </c>
    </row>
    <row r="30" spans="1:24" x14ac:dyDescent="0.3">
      <c r="A30" s="38" t="s">
        <v>81</v>
      </c>
      <c r="B30" s="30" t="s">
        <v>82</v>
      </c>
      <c r="C30" s="30" t="s">
        <v>83</v>
      </c>
      <c r="D30" s="62">
        <v>725</v>
      </c>
      <c r="E30" s="45">
        <v>1219</v>
      </c>
      <c r="F30" s="48">
        <v>120</v>
      </c>
      <c r="G30" s="48">
        <v>2064</v>
      </c>
      <c r="H30" s="65">
        <v>0.35125968992248058</v>
      </c>
      <c r="I30" s="31">
        <v>0.5906007751937985</v>
      </c>
      <c r="J30" s="51">
        <v>5.8139534883720902E-2</v>
      </c>
      <c r="K30" s="68">
        <v>2.3397733990147791</v>
      </c>
      <c r="L30" s="32">
        <v>2.249920244280375</v>
      </c>
      <c r="M30" s="54">
        <v>2.4049062049062049</v>
      </c>
      <c r="N30" s="68">
        <v>0.41259380692078529</v>
      </c>
      <c r="O30" s="32">
        <v>0.52741098551342769</v>
      </c>
      <c r="P30" s="54">
        <v>5.4660546177919003E-2</v>
      </c>
      <c r="Q30" s="70">
        <v>0.99466533861213202</v>
      </c>
      <c r="R30" s="56">
        <v>-2.2589958624649902E-2</v>
      </c>
      <c r="S30" s="58">
        <v>2.477884468713873</v>
      </c>
      <c r="T30" s="90">
        <v>27</v>
      </c>
      <c r="U30" s="60">
        <v>1.003534197</v>
      </c>
      <c r="V30" s="60">
        <v>2.9516069999999998E-2</v>
      </c>
      <c r="W30" s="39">
        <v>2.5260543530000001</v>
      </c>
      <c r="X30" s="40">
        <v>25</v>
      </c>
    </row>
    <row r="31" spans="1:24" x14ac:dyDescent="0.3">
      <c r="A31" s="41" t="s">
        <v>12</v>
      </c>
      <c r="B31" s="33" t="s">
        <v>13</v>
      </c>
      <c r="C31" s="33" t="s">
        <v>14</v>
      </c>
      <c r="D31" s="63">
        <v>849</v>
      </c>
      <c r="E31" s="46">
        <v>1183</v>
      </c>
      <c r="F31" s="49">
        <v>188</v>
      </c>
      <c r="G31" s="49">
        <v>2220</v>
      </c>
      <c r="H31" s="66">
        <v>0.38243243243243241</v>
      </c>
      <c r="I31" s="34">
        <v>0.53288288288288288</v>
      </c>
      <c r="J31" s="52">
        <v>8.4684684684684597E-2</v>
      </c>
      <c r="K31" s="68">
        <v>1.89727690840765</v>
      </c>
      <c r="L31" s="32">
        <v>2.4740020663097591</v>
      </c>
      <c r="M31" s="54">
        <v>2.786740121580547</v>
      </c>
      <c r="N31" s="68">
        <v>0.36425542523478649</v>
      </c>
      <c r="O31" s="32">
        <v>0.52326280343188913</v>
      </c>
      <c r="P31" s="54">
        <v>9.2258335748234499E-2</v>
      </c>
      <c r="Q31" s="70">
        <v>0.97977656441491001</v>
      </c>
      <c r="R31" s="56">
        <v>-0.12498708064109609</v>
      </c>
      <c r="S31" s="58">
        <v>2.3776378594485932</v>
      </c>
      <c r="T31" s="90">
        <v>28</v>
      </c>
      <c r="U31" s="60">
        <v>0.95312243500000005</v>
      </c>
      <c r="V31" s="60">
        <v>-0.27498978899999998</v>
      </c>
      <c r="W31" s="39">
        <v>2.1980825909999999</v>
      </c>
      <c r="X31" s="40">
        <v>32</v>
      </c>
    </row>
    <row r="32" spans="1:24" x14ac:dyDescent="0.3">
      <c r="A32" s="38" t="s">
        <v>18</v>
      </c>
      <c r="B32" s="30" t="s">
        <v>19</v>
      </c>
      <c r="C32" s="30" t="s">
        <v>20</v>
      </c>
      <c r="D32" s="62">
        <v>285</v>
      </c>
      <c r="E32" s="45">
        <v>580</v>
      </c>
      <c r="F32" s="48">
        <v>135</v>
      </c>
      <c r="G32" s="48">
        <v>1000</v>
      </c>
      <c r="H32" s="65">
        <v>0.28499999999999998</v>
      </c>
      <c r="I32" s="31">
        <v>0.57999999999999996</v>
      </c>
      <c r="J32" s="51">
        <v>0.13500000000000001</v>
      </c>
      <c r="K32" s="68">
        <v>2.2560623781676412</v>
      </c>
      <c r="L32" s="32">
        <v>2.4412691570881222</v>
      </c>
      <c r="M32" s="54">
        <v>1.7946999091443541</v>
      </c>
      <c r="N32" s="68">
        <v>0.32278738644047561</v>
      </c>
      <c r="O32" s="32">
        <v>0.56199401859591158</v>
      </c>
      <c r="P32" s="54">
        <v>9.47174244597868E-2</v>
      </c>
      <c r="Q32" s="70">
        <v>0.97949882949617395</v>
      </c>
      <c r="R32" s="56">
        <v>-0.12689719466293151</v>
      </c>
      <c r="S32" s="58">
        <v>2.3757678610518771</v>
      </c>
      <c r="T32" s="90">
        <v>29</v>
      </c>
      <c r="U32" s="60">
        <v>1.043862549</v>
      </c>
      <c r="V32" s="60">
        <v>0.27311437100000002</v>
      </c>
      <c r="W32" s="39">
        <v>2.7410828459999999</v>
      </c>
      <c r="X32" s="40">
        <v>17</v>
      </c>
    </row>
    <row r="33" spans="1:24" x14ac:dyDescent="0.3">
      <c r="A33" s="41" t="s">
        <v>96</v>
      </c>
      <c r="B33" s="33" t="s">
        <v>97</v>
      </c>
      <c r="C33" s="33" t="s">
        <v>98</v>
      </c>
      <c r="D33" s="63">
        <v>726</v>
      </c>
      <c r="E33" s="46">
        <v>951</v>
      </c>
      <c r="F33" s="49">
        <v>110</v>
      </c>
      <c r="G33" s="49">
        <v>1787</v>
      </c>
      <c r="H33" s="66">
        <v>0.40626748740906549</v>
      </c>
      <c r="I33" s="34">
        <v>0.53217683268047011</v>
      </c>
      <c r="J33" s="52">
        <v>6.15556799104644E-2</v>
      </c>
      <c r="K33" s="68">
        <v>2.2241309195854648</v>
      </c>
      <c r="L33" s="32">
        <v>2.241885734314756</v>
      </c>
      <c r="M33" s="54">
        <v>1.9521176046176041</v>
      </c>
      <c r="N33" s="68">
        <v>0.45362084991273549</v>
      </c>
      <c r="O33" s="32">
        <v>0.4735408761485132</v>
      </c>
      <c r="P33" s="54">
        <v>4.6976253946998399E-2</v>
      </c>
      <c r="Q33" s="70">
        <v>0.97413798000824725</v>
      </c>
      <c r="R33" s="56">
        <v>-0.16376628488188719</v>
      </c>
      <c r="S33" s="58">
        <v>2.3396730840858568</v>
      </c>
      <c r="T33" s="90">
        <v>30</v>
      </c>
      <c r="U33" s="60">
        <v>1.0118697729999999</v>
      </c>
      <c r="V33" s="60">
        <v>7.9866062000000002E-2</v>
      </c>
      <c r="W33" s="39">
        <v>2.5704991740000001</v>
      </c>
      <c r="X33" s="40">
        <v>23</v>
      </c>
    </row>
    <row r="34" spans="1:24" x14ac:dyDescent="0.3">
      <c r="A34" s="38" t="s">
        <v>161</v>
      </c>
      <c r="B34" s="30" t="s">
        <v>162</v>
      </c>
      <c r="C34" s="30" t="s">
        <v>163</v>
      </c>
      <c r="D34" s="62">
        <v>950</v>
      </c>
      <c r="E34" s="45">
        <v>1363</v>
      </c>
      <c r="F34" s="48">
        <v>86</v>
      </c>
      <c r="G34" s="48">
        <v>2399</v>
      </c>
      <c r="H34" s="65">
        <v>0.3959983326385994</v>
      </c>
      <c r="I34" s="31">
        <v>0.56815339724885372</v>
      </c>
      <c r="J34" s="51">
        <v>3.5848270112546897E-2</v>
      </c>
      <c r="K34" s="68">
        <v>2.076309523809523</v>
      </c>
      <c r="L34" s="32">
        <v>2.344834864735819</v>
      </c>
      <c r="M34" s="54">
        <v>2.2399224806201552</v>
      </c>
      <c r="N34" s="68">
        <v>0.41276802317340228</v>
      </c>
      <c r="O34" s="32">
        <v>0.52876890291093759</v>
      </c>
      <c r="P34" s="54">
        <v>3.1391022538098702E-2</v>
      </c>
      <c r="Q34" s="70">
        <v>0.97292794862243881</v>
      </c>
      <c r="R34" s="56">
        <v>-0.17208824139859541</v>
      </c>
      <c r="S34" s="58">
        <v>2.331525902731296</v>
      </c>
      <c r="T34" s="90">
        <v>31</v>
      </c>
      <c r="U34" s="60">
        <v>0.98751940199999999</v>
      </c>
      <c r="V34" s="60">
        <v>-6.7219268999999998E-2</v>
      </c>
      <c r="W34" s="39">
        <v>2.426198469</v>
      </c>
      <c r="X34" s="40">
        <v>26</v>
      </c>
    </row>
    <row r="35" spans="1:24" x14ac:dyDescent="0.3">
      <c r="A35" s="41" t="s">
        <v>45</v>
      </c>
      <c r="B35" s="33" t="s">
        <v>46</v>
      </c>
      <c r="C35" s="33" t="s">
        <v>47</v>
      </c>
      <c r="D35" s="63">
        <v>251</v>
      </c>
      <c r="E35" s="46">
        <v>387</v>
      </c>
      <c r="F35" s="49">
        <v>87</v>
      </c>
      <c r="G35" s="49">
        <v>725</v>
      </c>
      <c r="H35" s="66">
        <v>0.3462068965517241</v>
      </c>
      <c r="I35" s="34">
        <v>0.53379310344827591</v>
      </c>
      <c r="J35" s="52">
        <v>0.12</v>
      </c>
      <c r="K35" s="68">
        <v>1.792683235312718</v>
      </c>
      <c r="L35" s="32">
        <v>2.719078380706287</v>
      </c>
      <c r="M35" s="54">
        <v>1.7899425287356321</v>
      </c>
      <c r="N35" s="68">
        <v>0.3115730345569438</v>
      </c>
      <c r="O35" s="32">
        <v>0.57607989762547707</v>
      </c>
      <c r="P35" s="54">
        <v>8.3970087150772602E-2</v>
      </c>
      <c r="Q35" s="70">
        <v>0.97162301933319362</v>
      </c>
      <c r="R35" s="56">
        <v>-0.1810628555531035</v>
      </c>
      <c r="S35" s="58">
        <v>2.322739770653198</v>
      </c>
      <c r="T35" s="90">
        <v>32</v>
      </c>
      <c r="U35" s="60">
        <v>0.93045528600000005</v>
      </c>
      <c r="V35" s="60">
        <v>-0.41190783399999997</v>
      </c>
      <c r="W35" s="39">
        <v>2.047757222</v>
      </c>
      <c r="X35" s="40">
        <v>35</v>
      </c>
    </row>
    <row r="36" spans="1:24" x14ac:dyDescent="0.3">
      <c r="A36" s="38" t="s">
        <v>164</v>
      </c>
      <c r="B36" s="30" t="s">
        <v>165</v>
      </c>
      <c r="C36" s="30" t="s">
        <v>166</v>
      </c>
      <c r="D36" s="62">
        <v>1982</v>
      </c>
      <c r="E36" s="45">
        <v>2165</v>
      </c>
      <c r="F36" s="48">
        <v>240</v>
      </c>
      <c r="G36" s="48">
        <v>4387</v>
      </c>
      <c r="H36" s="65">
        <v>0.45178937770686117</v>
      </c>
      <c r="I36" s="31">
        <v>0.49350353316617279</v>
      </c>
      <c r="J36" s="51">
        <v>5.4707089126966001E-2</v>
      </c>
      <c r="K36" s="68">
        <v>1.5270131399041591</v>
      </c>
      <c r="L36" s="32">
        <v>2.91832651823414</v>
      </c>
      <c r="M36" s="54">
        <v>1.7994020562770561</v>
      </c>
      <c r="N36" s="68">
        <v>0.34633739178441569</v>
      </c>
      <c r="O36" s="32">
        <v>0.57162627522569298</v>
      </c>
      <c r="P36" s="54">
        <v>3.8483635335937801E-2</v>
      </c>
      <c r="Q36" s="70">
        <v>0.95644730234604658</v>
      </c>
      <c r="R36" s="56">
        <v>-0.2854334184641793</v>
      </c>
      <c r="S36" s="58">
        <v>2.220561166089845</v>
      </c>
      <c r="T36" s="90">
        <v>33</v>
      </c>
      <c r="U36" s="60">
        <v>0.95105259499999995</v>
      </c>
      <c r="V36" s="60">
        <v>-0.28749239399999998</v>
      </c>
      <c r="W36" s="39">
        <v>2.184355702</v>
      </c>
      <c r="X36" s="40">
        <v>33</v>
      </c>
    </row>
    <row r="37" spans="1:24" x14ac:dyDescent="0.3">
      <c r="A37" s="41" t="s">
        <v>57</v>
      </c>
      <c r="B37" s="33" t="s">
        <v>58</v>
      </c>
      <c r="C37" s="33" t="s">
        <v>59</v>
      </c>
      <c r="D37" s="63">
        <v>829</v>
      </c>
      <c r="E37" s="46">
        <v>1079</v>
      </c>
      <c r="F37" s="49">
        <v>153</v>
      </c>
      <c r="G37" s="49">
        <v>2061</v>
      </c>
      <c r="H37" s="66">
        <v>0.40223192624939352</v>
      </c>
      <c r="I37" s="34">
        <v>0.52353226589034452</v>
      </c>
      <c r="J37" s="52">
        <v>7.4235807860262001E-2</v>
      </c>
      <c r="K37" s="68">
        <v>1.8183251442298489</v>
      </c>
      <c r="L37" s="32">
        <v>2.3617941295652138</v>
      </c>
      <c r="M37" s="54">
        <v>3.2639433551198258</v>
      </c>
      <c r="N37" s="68">
        <v>0.36717125605021478</v>
      </c>
      <c r="O37" s="32">
        <v>0.49076493748146482</v>
      </c>
      <c r="P37" s="54">
        <v>9.47240641122951E-2</v>
      </c>
      <c r="Q37" s="70">
        <v>0.95266025764397477</v>
      </c>
      <c r="R37" s="56">
        <v>-0.31147871093104601</v>
      </c>
      <c r="S37" s="58">
        <v>2.1950628688163478</v>
      </c>
      <c r="T37" s="90">
        <v>34</v>
      </c>
      <c r="U37" s="60">
        <v>0.93658624599999996</v>
      </c>
      <c r="V37" s="60">
        <v>-0.37487454399999998</v>
      </c>
      <c r="W37" s="39">
        <v>2.0884168949999999</v>
      </c>
      <c r="X37" s="40">
        <v>34</v>
      </c>
    </row>
    <row r="38" spans="1:24" x14ac:dyDescent="0.3">
      <c r="A38" s="38" t="s">
        <v>27</v>
      </c>
      <c r="B38" s="30" t="s">
        <v>28</v>
      </c>
      <c r="C38" s="30" t="s">
        <v>29</v>
      </c>
      <c r="D38" s="62">
        <v>870</v>
      </c>
      <c r="E38" s="45">
        <v>901</v>
      </c>
      <c r="F38" s="48">
        <v>46</v>
      </c>
      <c r="G38" s="48">
        <v>1817</v>
      </c>
      <c r="H38" s="65">
        <v>0.4788112272977435</v>
      </c>
      <c r="I38" s="31">
        <v>0.49587231700605389</v>
      </c>
      <c r="J38" s="51">
        <v>2.53164556962025E-2</v>
      </c>
      <c r="K38" s="68">
        <v>2.0439573899918728</v>
      </c>
      <c r="L38" s="32">
        <v>2.1714589609428678</v>
      </c>
      <c r="M38" s="54">
        <v>2.853754940711462</v>
      </c>
      <c r="N38" s="68">
        <v>0.49131130275694362</v>
      </c>
      <c r="O38" s="32">
        <v>0.4273754046859452</v>
      </c>
      <c r="P38" s="54">
        <v>2.8243847098508999E-2</v>
      </c>
      <c r="Q38" s="70">
        <v>0.94693055454139796</v>
      </c>
      <c r="R38" s="56">
        <v>-0.3508845814171504</v>
      </c>
      <c r="S38" s="58">
        <v>2.156484588259358</v>
      </c>
      <c r="T38" s="90">
        <v>35</v>
      </c>
      <c r="U38" s="60">
        <v>0.97967435400000002</v>
      </c>
      <c r="V38" s="60">
        <v>-0.114606287</v>
      </c>
      <c r="W38" s="39">
        <v>2.3741712069999998</v>
      </c>
      <c r="X38" s="40">
        <v>29</v>
      </c>
    </row>
    <row r="39" spans="1:24" x14ac:dyDescent="0.3">
      <c r="A39" s="41" t="s">
        <v>78</v>
      </c>
      <c r="B39" s="33" t="s">
        <v>79</v>
      </c>
      <c r="C39" s="33" t="s">
        <v>80</v>
      </c>
      <c r="D39" s="63">
        <v>1385</v>
      </c>
      <c r="E39" s="46">
        <v>1531</v>
      </c>
      <c r="F39" s="49">
        <v>203</v>
      </c>
      <c r="G39" s="49">
        <v>3119</v>
      </c>
      <c r="H39" s="66">
        <v>0.44405258095543437</v>
      </c>
      <c r="I39" s="34">
        <v>0.49086245591535749</v>
      </c>
      <c r="J39" s="52">
        <v>6.5084963129208001E-2</v>
      </c>
      <c r="K39" s="68">
        <v>2.0075898229327831</v>
      </c>
      <c r="L39" s="32">
        <v>2.198416247371179</v>
      </c>
      <c r="M39" s="54">
        <v>2.656331599435048</v>
      </c>
      <c r="N39" s="68">
        <v>0.4475380612904386</v>
      </c>
      <c r="O39" s="32">
        <v>0.42830956823390809</v>
      </c>
      <c r="P39" s="54">
        <v>6.7587630749577202E-2</v>
      </c>
      <c r="Q39" s="70">
        <v>0.94343526027392399</v>
      </c>
      <c r="R39" s="56">
        <v>-0.3749233685495853</v>
      </c>
      <c r="S39" s="58">
        <v>2.1329506563145779</v>
      </c>
      <c r="T39" s="90">
        <v>36</v>
      </c>
      <c r="U39" s="60">
        <v>0.97799924699999996</v>
      </c>
      <c r="V39" s="60">
        <v>-0.124724562</v>
      </c>
      <c r="W39" s="39">
        <v>2.3630621280000002</v>
      </c>
      <c r="X39" s="40">
        <v>30</v>
      </c>
    </row>
    <row r="40" spans="1:24" x14ac:dyDescent="0.3">
      <c r="A40" s="38" t="s">
        <v>150</v>
      </c>
      <c r="B40" s="30" t="s">
        <v>151</v>
      </c>
      <c r="C40" s="30" t="s">
        <v>189</v>
      </c>
      <c r="D40" s="62">
        <v>547</v>
      </c>
      <c r="E40" s="45">
        <v>1125</v>
      </c>
      <c r="F40" s="48">
        <v>112</v>
      </c>
      <c r="G40" s="48">
        <v>1784</v>
      </c>
      <c r="H40" s="65">
        <v>0.30661434977578478</v>
      </c>
      <c r="I40" s="31">
        <v>0.63060538116591924</v>
      </c>
      <c r="J40" s="51">
        <v>6.2780269058295896E-2</v>
      </c>
      <c r="K40" s="68">
        <v>2.139879864194306</v>
      </c>
      <c r="L40" s="32">
        <v>2.2459026455026452</v>
      </c>
      <c r="M40" s="54">
        <v>1.9865433673469379</v>
      </c>
      <c r="N40" s="68">
        <v>0.32938397063362518</v>
      </c>
      <c r="O40" s="32">
        <v>0.56212983308575082</v>
      </c>
      <c r="P40" s="54">
        <v>4.8755710985916599E-2</v>
      </c>
      <c r="Q40" s="70">
        <v>0.94026951470529263</v>
      </c>
      <c r="R40" s="56">
        <v>-0.3966956938579142</v>
      </c>
      <c r="S40" s="58">
        <v>2.1116355866622292</v>
      </c>
      <c r="T40" s="90">
        <v>37</v>
      </c>
      <c r="U40" s="60">
        <v>0.89855721099999997</v>
      </c>
      <c r="V40" s="60">
        <v>-0.60458411499999998</v>
      </c>
      <c r="W40" s="39">
        <v>1.8362136449999999</v>
      </c>
      <c r="X40" s="40">
        <v>41</v>
      </c>
    </row>
    <row r="41" spans="1:24" x14ac:dyDescent="0.3">
      <c r="A41" s="41" t="s">
        <v>152</v>
      </c>
      <c r="B41" s="33" t="s">
        <v>153</v>
      </c>
      <c r="C41" s="33" t="s">
        <v>154</v>
      </c>
      <c r="D41" s="63">
        <v>1013</v>
      </c>
      <c r="E41" s="46">
        <v>1318</v>
      </c>
      <c r="F41" s="49">
        <v>48</v>
      </c>
      <c r="G41" s="49">
        <v>2379</v>
      </c>
      <c r="H41" s="66">
        <v>0.42580916351408149</v>
      </c>
      <c r="I41" s="34">
        <v>0.55401429171920979</v>
      </c>
      <c r="J41" s="52">
        <v>2.0176544766708701E-2</v>
      </c>
      <c r="K41" s="68">
        <v>1.5938251608639511</v>
      </c>
      <c r="L41" s="32">
        <v>2.598639111689188</v>
      </c>
      <c r="M41" s="54">
        <v>2.385763888888889</v>
      </c>
      <c r="N41" s="68">
        <v>0.34070324810660779</v>
      </c>
      <c r="O41" s="32">
        <v>0.57141939145390019</v>
      </c>
      <c r="P41" s="54">
        <v>1.8818219376078801E-2</v>
      </c>
      <c r="Q41" s="70">
        <v>0.93094085893658685</v>
      </c>
      <c r="R41" s="56">
        <v>-0.46085325917150638</v>
      </c>
      <c r="S41" s="58">
        <v>2.0488254387327758</v>
      </c>
      <c r="T41" s="90">
        <v>38</v>
      </c>
      <c r="U41" s="60">
        <v>0.919208582</v>
      </c>
      <c r="V41" s="60">
        <v>-0.47984212599999998</v>
      </c>
      <c r="W41" s="39">
        <v>1.9731706499999999</v>
      </c>
      <c r="X41" s="40">
        <v>37</v>
      </c>
    </row>
    <row r="42" spans="1:24" x14ac:dyDescent="0.3">
      <c r="A42" s="38" t="s">
        <v>60</v>
      </c>
      <c r="B42" s="30" t="s">
        <v>61</v>
      </c>
      <c r="C42" s="30" t="s">
        <v>62</v>
      </c>
      <c r="D42" s="62">
        <v>775</v>
      </c>
      <c r="E42" s="45">
        <v>1039</v>
      </c>
      <c r="F42" s="48">
        <v>82</v>
      </c>
      <c r="G42" s="48">
        <v>1896</v>
      </c>
      <c r="H42" s="65">
        <v>0.4087552742616033</v>
      </c>
      <c r="I42" s="31">
        <v>0.5479957805907173</v>
      </c>
      <c r="J42" s="51">
        <v>4.3248945147679303E-2</v>
      </c>
      <c r="K42" s="68">
        <v>1.6030558115719411</v>
      </c>
      <c r="L42" s="32">
        <v>2.496976675874655</v>
      </c>
      <c r="M42" s="54">
        <v>3.259250167176996</v>
      </c>
      <c r="N42" s="68">
        <v>0.32895205551971218</v>
      </c>
      <c r="O42" s="32">
        <v>0.54309991605074392</v>
      </c>
      <c r="P42" s="54">
        <v>5.5105822225022499E-2</v>
      </c>
      <c r="Q42" s="70">
        <v>0.9271577937954788</v>
      </c>
      <c r="R42" s="56">
        <v>-0.48687118232078058</v>
      </c>
      <c r="S42" s="58">
        <v>2.0233539359749102</v>
      </c>
      <c r="T42" s="90">
        <v>39</v>
      </c>
      <c r="U42" s="60">
        <v>0.91070807600000003</v>
      </c>
      <c r="V42" s="60">
        <v>-0.53118835200000003</v>
      </c>
      <c r="W42" s="39">
        <v>1.916796486</v>
      </c>
      <c r="X42" s="40">
        <v>38</v>
      </c>
    </row>
    <row r="43" spans="1:24" x14ac:dyDescent="0.3">
      <c r="A43" s="41" t="s">
        <v>63</v>
      </c>
      <c r="B43" s="33" t="s">
        <v>64</v>
      </c>
      <c r="C43" s="33" t="s">
        <v>65</v>
      </c>
      <c r="D43" s="63">
        <v>2026</v>
      </c>
      <c r="E43" s="46">
        <v>1712</v>
      </c>
      <c r="F43" s="49">
        <v>103</v>
      </c>
      <c r="G43" s="49">
        <v>3841</v>
      </c>
      <c r="H43" s="66">
        <v>0.52746680551939595</v>
      </c>
      <c r="I43" s="34">
        <v>0.44571726112991411</v>
      </c>
      <c r="J43" s="52">
        <v>2.6815933350689901E-2</v>
      </c>
      <c r="K43" s="68">
        <v>1.6801172064745611</v>
      </c>
      <c r="L43" s="32">
        <v>2.4520360480640848</v>
      </c>
      <c r="M43" s="54">
        <v>3.229737504494786</v>
      </c>
      <c r="N43" s="68">
        <v>0.44489272644411748</v>
      </c>
      <c r="O43" s="32">
        <v>0.43378480911518819</v>
      </c>
      <c r="P43" s="54">
        <v>3.3858242811209097E-2</v>
      </c>
      <c r="Q43" s="70">
        <v>0.91253577837051481</v>
      </c>
      <c r="R43" s="56">
        <v>-0.58743367845130545</v>
      </c>
      <c r="S43" s="58">
        <v>1.9249034223489641</v>
      </c>
      <c r="T43" s="90">
        <v>40</v>
      </c>
      <c r="U43" s="60">
        <v>0.90940001599999998</v>
      </c>
      <c r="V43" s="60">
        <v>-0.53908952499999996</v>
      </c>
      <c r="W43" s="39">
        <v>1.908121612</v>
      </c>
      <c r="X43" s="40">
        <v>39</v>
      </c>
    </row>
    <row r="44" spans="1:24" x14ac:dyDescent="0.3">
      <c r="A44" s="38" t="s">
        <v>129</v>
      </c>
      <c r="B44" s="30" t="s">
        <v>130</v>
      </c>
      <c r="C44" s="30" t="s">
        <v>131</v>
      </c>
      <c r="D44" s="62">
        <v>2119</v>
      </c>
      <c r="E44" s="45">
        <v>1937</v>
      </c>
      <c r="F44" s="48">
        <v>165</v>
      </c>
      <c r="G44" s="48">
        <v>4221</v>
      </c>
      <c r="H44" s="65">
        <v>0.50201374081971095</v>
      </c>
      <c r="I44" s="31">
        <v>0.458895996209429</v>
      </c>
      <c r="J44" s="51">
        <v>3.90902629708599E-2</v>
      </c>
      <c r="K44" s="68">
        <v>1.7084651725034261</v>
      </c>
      <c r="L44" s="32">
        <v>2.4406033692688318</v>
      </c>
      <c r="M44" s="54">
        <v>2.021997245179064</v>
      </c>
      <c r="N44" s="68">
        <v>0.43056857200369558</v>
      </c>
      <c r="O44" s="32">
        <v>0.44452839809234213</v>
      </c>
      <c r="P44" s="54">
        <v>3.0899640207970001E-2</v>
      </c>
      <c r="Q44" s="70">
        <v>0.9059966103040078</v>
      </c>
      <c r="R44" s="56">
        <v>-0.63240662125522717</v>
      </c>
      <c r="S44" s="58">
        <v>1.880874987408669</v>
      </c>
      <c r="T44" s="90">
        <v>41</v>
      </c>
      <c r="U44" s="60">
        <v>0.90247520699999995</v>
      </c>
      <c r="V44" s="60">
        <v>-0.58091795700000004</v>
      </c>
      <c r="W44" s="39">
        <v>1.862197246</v>
      </c>
      <c r="X44" s="40">
        <v>40</v>
      </c>
    </row>
    <row r="45" spans="1:24" x14ac:dyDescent="0.3">
      <c r="A45" s="41" t="s">
        <v>30</v>
      </c>
      <c r="B45" s="33" t="s">
        <v>31</v>
      </c>
      <c r="C45" s="33" t="s">
        <v>32</v>
      </c>
      <c r="D45" s="63">
        <v>183</v>
      </c>
      <c r="E45" s="46">
        <v>339</v>
      </c>
      <c r="F45" s="49">
        <v>35</v>
      </c>
      <c r="G45" s="49">
        <v>557</v>
      </c>
      <c r="H45" s="66">
        <v>0.32854578096947928</v>
      </c>
      <c r="I45" s="34">
        <v>0.60861759425493711</v>
      </c>
      <c r="J45" s="52">
        <v>6.2836624775583397E-2</v>
      </c>
      <c r="K45" s="68">
        <v>2.3885549483910138</v>
      </c>
      <c r="L45" s="32">
        <v>1.8979386149740129</v>
      </c>
      <c r="M45" s="54">
        <v>2.1437868480725628</v>
      </c>
      <c r="N45" s="68">
        <v>0.39395963216958851</v>
      </c>
      <c r="O45" s="32">
        <v>0.45847398785790161</v>
      </c>
      <c r="P45" s="54">
        <v>5.2662166565062798E-2</v>
      </c>
      <c r="Q45" s="70">
        <v>0.90509578659255296</v>
      </c>
      <c r="R45" s="56">
        <v>-0.63860201076649803</v>
      </c>
      <c r="S45" s="58">
        <v>1.874809711555673</v>
      </c>
      <c r="T45" s="90">
        <v>42</v>
      </c>
      <c r="U45" s="60">
        <v>0.954482842</v>
      </c>
      <c r="V45" s="60">
        <v>-0.26677242200000001</v>
      </c>
      <c r="W45" s="39">
        <v>2.20710462</v>
      </c>
      <c r="X45" s="40">
        <v>31</v>
      </c>
    </row>
    <row r="46" spans="1:24" x14ac:dyDescent="0.3">
      <c r="A46" s="38" t="s">
        <v>15</v>
      </c>
      <c r="B46" s="30" t="s">
        <v>16</v>
      </c>
      <c r="C46" s="30" t="s">
        <v>17</v>
      </c>
      <c r="D46" s="62">
        <v>848</v>
      </c>
      <c r="E46" s="45">
        <v>999</v>
      </c>
      <c r="F46" s="48">
        <v>76</v>
      </c>
      <c r="G46" s="48">
        <v>1923</v>
      </c>
      <c r="H46" s="65">
        <v>0.4409776391055642</v>
      </c>
      <c r="I46" s="31">
        <v>0.51950078003120126</v>
      </c>
      <c r="J46" s="51">
        <v>3.9521580863234498E-2</v>
      </c>
      <c r="K46" s="68">
        <v>1.712718354758449</v>
      </c>
      <c r="L46" s="32">
        <v>2.3368362146139932</v>
      </c>
      <c r="M46" s="54">
        <v>2.5478592314118629</v>
      </c>
      <c r="N46" s="68">
        <v>0.37916052165043179</v>
      </c>
      <c r="O46" s="32">
        <v>0.48183962686664528</v>
      </c>
      <c r="P46" s="54">
        <v>3.93653401676421E-2</v>
      </c>
      <c r="Q46" s="70">
        <v>0.90036548868471922</v>
      </c>
      <c r="R46" s="56">
        <v>-0.67113450038763633</v>
      </c>
      <c r="S46" s="58">
        <v>1.84296045924023</v>
      </c>
      <c r="T46" s="90">
        <v>43</v>
      </c>
      <c r="U46" s="60">
        <v>0.89406512299999996</v>
      </c>
      <c r="V46" s="60">
        <v>-0.63171799900000003</v>
      </c>
      <c r="W46" s="39">
        <v>1.806422749</v>
      </c>
      <c r="X46" s="40">
        <v>42</v>
      </c>
    </row>
    <row r="47" spans="1:24" x14ac:dyDescent="0.3">
      <c r="A47" s="41" t="s">
        <v>93</v>
      </c>
      <c r="B47" s="33" t="s">
        <v>94</v>
      </c>
      <c r="C47" s="33" t="s">
        <v>95</v>
      </c>
      <c r="D47" s="63">
        <v>462</v>
      </c>
      <c r="E47" s="46">
        <v>582</v>
      </c>
      <c r="F47" s="49">
        <v>46</v>
      </c>
      <c r="G47" s="49">
        <v>1090</v>
      </c>
      <c r="H47" s="66">
        <v>0.42385321100917428</v>
      </c>
      <c r="I47" s="34">
        <v>0.53394495412844034</v>
      </c>
      <c r="J47" s="52">
        <v>4.2201834862385303E-2</v>
      </c>
      <c r="K47" s="68">
        <v>1.9079493413527031</v>
      </c>
      <c r="L47" s="32">
        <v>2.043761250204549</v>
      </c>
      <c r="M47" s="54">
        <v>2.2289855072463771</v>
      </c>
      <c r="N47" s="68">
        <v>0.40597838270307718</v>
      </c>
      <c r="O47" s="32">
        <v>0.43312642701368748</v>
      </c>
      <c r="P47" s="54">
        <v>3.6774167461741898E-2</v>
      </c>
      <c r="Q47" s="70">
        <v>0.8758789771785066</v>
      </c>
      <c r="R47" s="56">
        <v>-0.83953978837478394</v>
      </c>
      <c r="S47" s="58">
        <v>1.6780919671321901</v>
      </c>
      <c r="T47" s="90">
        <v>44</v>
      </c>
      <c r="U47" s="60">
        <v>0.81424987800000004</v>
      </c>
      <c r="V47" s="60">
        <v>-1.113831877</v>
      </c>
      <c r="W47" s="39">
        <v>1.2770991920000001</v>
      </c>
      <c r="X47" s="40">
        <v>48</v>
      </c>
    </row>
    <row r="48" spans="1:24" x14ac:dyDescent="0.3">
      <c r="A48" s="38" t="s">
        <v>167</v>
      </c>
      <c r="B48" s="30" t="s">
        <v>168</v>
      </c>
      <c r="C48" s="30" t="s">
        <v>169</v>
      </c>
      <c r="D48" s="62">
        <v>269</v>
      </c>
      <c r="E48" s="45">
        <v>352</v>
      </c>
      <c r="F48" s="48">
        <v>55</v>
      </c>
      <c r="G48" s="48">
        <v>676</v>
      </c>
      <c r="H48" s="65">
        <v>0.39792899408284022</v>
      </c>
      <c r="I48" s="31">
        <v>0.52071005917159763</v>
      </c>
      <c r="J48" s="51">
        <v>8.1360946745562102E-2</v>
      </c>
      <c r="K48" s="68">
        <v>1.567162329615861</v>
      </c>
      <c r="L48" s="32">
        <v>2.275284090909091</v>
      </c>
      <c r="M48" s="54">
        <v>2.2214967860422399</v>
      </c>
      <c r="N48" s="68">
        <v>0.31306906774104148</v>
      </c>
      <c r="O48" s="32">
        <v>0.47024006978528421</v>
      </c>
      <c r="P48" s="54">
        <v>7.0658750578977206E-2</v>
      </c>
      <c r="Q48" s="70">
        <v>0.85396788810530289</v>
      </c>
      <c r="R48" s="56">
        <v>-0.99023268166620759</v>
      </c>
      <c r="S48" s="58">
        <v>1.530563879473501</v>
      </c>
      <c r="T48" s="90">
        <v>45</v>
      </c>
      <c r="U48" s="60">
        <v>0.82419361999999996</v>
      </c>
      <c r="V48" s="60">
        <v>-1.0537679609999999</v>
      </c>
      <c r="W48" s="39">
        <v>1.3430447029999999</v>
      </c>
      <c r="X48" s="40">
        <v>43</v>
      </c>
    </row>
    <row r="49" spans="1:24" x14ac:dyDescent="0.3">
      <c r="A49" s="41" t="s">
        <v>66</v>
      </c>
      <c r="B49" s="33" t="s">
        <v>67</v>
      </c>
      <c r="C49" s="33" t="s">
        <v>68</v>
      </c>
      <c r="D49" s="63">
        <v>992</v>
      </c>
      <c r="E49" s="46">
        <v>1215</v>
      </c>
      <c r="F49" s="49">
        <v>226</v>
      </c>
      <c r="G49" s="49">
        <v>2433</v>
      </c>
      <c r="H49" s="66">
        <v>0.40772708590217838</v>
      </c>
      <c r="I49" s="34">
        <v>0.499383477188656</v>
      </c>
      <c r="J49" s="52">
        <v>9.2889436909165596E-2</v>
      </c>
      <c r="K49" s="68">
        <v>1.619415642601127</v>
      </c>
      <c r="L49" s="32">
        <v>1.9431589261218889</v>
      </c>
      <c r="M49" s="54">
        <v>3.6844764011799409</v>
      </c>
      <c r="N49" s="68">
        <v>0.3314732491404303</v>
      </c>
      <c r="O49" s="32">
        <v>0.38515055354779137</v>
      </c>
      <c r="P49" s="54">
        <v>0.13379700142809089</v>
      </c>
      <c r="Q49" s="70">
        <v>0.8504208041163126</v>
      </c>
      <c r="R49" s="56">
        <v>-1.0146276511386441</v>
      </c>
      <c r="S49" s="58">
        <v>1.506681245620286</v>
      </c>
      <c r="T49" s="90">
        <v>46</v>
      </c>
      <c r="U49" s="60">
        <v>0.81894549100000003</v>
      </c>
      <c r="V49" s="60">
        <v>-1.085468621</v>
      </c>
      <c r="W49" s="39">
        <v>1.308239843</v>
      </c>
      <c r="X49" s="40">
        <v>45</v>
      </c>
    </row>
    <row r="50" spans="1:24" x14ac:dyDescent="0.3">
      <c r="A50" s="38" t="s">
        <v>105</v>
      </c>
      <c r="B50" s="30" t="s">
        <v>106</v>
      </c>
      <c r="C50" s="30" t="s">
        <v>107</v>
      </c>
      <c r="D50" s="62">
        <v>1179</v>
      </c>
      <c r="E50" s="45">
        <v>1634</v>
      </c>
      <c r="F50" s="48">
        <v>235</v>
      </c>
      <c r="G50" s="48">
        <v>3048</v>
      </c>
      <c r="H50" s="65">
        <v>0.38681102362204722</v>
      </c>
      <c r="I50" s="31">
        <v>0.53608923884514437</v>
      </c>
      <c r="J50" s="51">
        <v>7.7099737532808396E-2</v>
      </c>
      <c r="K50" s="68">
        <v>1.741646808567928</v>
      </c>
      <c r="L50" s="32">
        <v>2.115810778708576</v>
      </c>
      <c r="M50" s="54">
        <v>1.867644376899696</v>
      </c>
      <c r="N50" s="68">
        <v>0.33820460981138217</v>
      </c>
      <c r="O50" s="32">
        <v>0.45019632992826969</v>
      </c>
      <c r="P50" s="54">
        <v>5.6292606115175101E-2</v>
      </c>
      <c r="Q50" s="70">
        <v>0.84469354585482703</v>
      </c>
      <c r="R50" s="56">
        <v>-1.0540167072995239</v>
      </c>
      <c r="S50" s="58">
        <v>1.468119426259253</v>
      </c>
      <c r="T50" s="90">
        <v>47</v>
      </c>
      <c r="U50" s="60">
        <v>0.81841159399999996</v>
      </c>
      <c r="V50" s="60">
        <v>-1.088693556</v>
      </c>
      <c r="W50" s="39">
        <v>1.3046991139999999</v>
      </c>
      <c r="X50" s="40">
        <v>46</v>
      </c>
    </row>
    <row r="51" spans="1:24" x14ac:dyDescent="0.3">
      <c r="A51" s="41" t="s">
        <v>54</v>
      </c>
      <c r="B51" s="33" t="s">
        <v>55</v>
      </c>
      <c r="C51" s="33" t="s">
        <v>56</v>
      </c>
      <c r="D51" s="63">
        <v>339</v>
      </c>
      <c r="E51" s="46">
        <v>562</v>
      </c>
      <c r="F51" s="49">
        <v>45</v>
      </c>
      <c r="G51" s="49">
        <v>946</v>
      </c>
      <c r="H51" s="66">
        <v>0.35835095137420719</v>
      </c>
      <c r="I51" s="34">
        <v>0.59408033826638473</v>
      </c>
      <c r="J51" s="52">
        <v>4.7568710359407997E-2</v>
      </c>
      <c r="K51" s="68">
        <v>1.4379641335393549</v>
      </c>
      <c r="L51" s="32">
        <v>2.179120770490877</v>
      </c>
      <c r="M51" s="54">
        <v>2.944309764309764</v>
      </c>
      <c r="N51" s="68">
        <v>0.2586885506959723</v>
      </c>
      <c r="O51" s="32">
        <v>0.51382415282182914</v>
      </c>
      <c r="P51" s="54">
        <v>5.4753154785769802E-2</v>
      </c>
      <c r="Q51" s="70">
        <v>0.82726585830357124</v>
      </c>
      <c r="R51" s="56">
        <v>-1.1738751338571261</v>
      </c>
      <c r="S51" s="58">
        <v>1.350778229381266</v>
      </c>
      <c r="T51" s="90">
        <v>48</v>
      </c>
      <c r="U51" s="60">
        <v>0.79651828400000002</v>
      </c>
      <c r="V51" s="60">
        <v>-1.2209373219999999</v>
      </c>
      <c r="W51" s="39">
        <v>1.159505741</v>
      </c>
      <c r="X51" s="40">
        <v>49</v>
      </c>
    </row>
    <row r="52" spans="1:24" x14ac:dyDescent="0.3">
      <c r="A52" s="38" t="s">
        <v>69</v>
      </c>
      <c r="B52" s="30" t="s">
        <v>70</v>
      </c>
      <c r="C52" s="30" t="s">
        <v>71</v>
      </c>
      <c r="D52" s="62">
        <v>1001</v>
      </c>
      <c r="E52" s="45">
        <v>1479</v>
      </c>
      <c r="F52" s="48">
        <v>104</v>
      </c>
      <c r="G52" s="48">
        <v>2584</v>
      </c>
      <c r="H52" s="65">
        <v>0.38738390092879249</v>
      </c>
      <c r="I52" s="31">
        <v>0.57236842105263153</v>
      </c>
      <c r="J52" s="51">
        <v>4.0247678018575803E-2</v>
      </c>
      <c r="K52" s="68">
        <v>1.587169180026323</v>
      </c>
      <c r="L52" s="32">
        <v>2.150418289921332</v>
      </c>
      <c r="M52" s="54">
        <v>1.515588898281206</v>
      </c>
      <c r="N52" s="68">
        <v>0.30866357498436581</v>
      </c>
      <c r="O52" s="32">
        <v>0.48852483342182468</v>
      </c>
      <c r="P52" s="54">
        <v>2.3846602710818801E-2</v>
      </c>
      <c r="Q52" s="70">
        <v>0.82103501111700938</v>
      </c>
      <c r="R52" s="56">
        <v>-1.2167276085589891</v>
      </c>
      <c r="S52" s="58">
        <v>1.308825729126444</v>
      </c>
      <c r="T52" s="90">
        <v>49</v>
      </c>
      <c r="U52" s="60">
        <v>0.81635727599999997</v>
      </c>
      <c r="V52" s="60">
        <v>-1.101102405</v>
      </c>
      <c r="W52" s="39">
        <v>1.2910751629999999</v>
      </c>
      <c r="X52" s="40">
        <v>47</v>
      </c>
    </row>
    <row r="53" spans="1:24" x14ac:dyDescent="0.3">
      <c r="A53" s="41" t="s">
        <v>84</v>
      </c>
      <c r="B53" s="33" t="s">
        <v>85</v>
      </c>
      <c r="C53" s="33" t="s">
        <v>86</v>
      </c>
      <c r="D53" s="63">
        <v>2387</v>
      </c>
      <c r="E53" s="46">
        <v>1895</v>
      </c>
      <c r="F53" s="49">
        <v>189</v>
      </c>
      <c r="G53" s="49">
        <v>4471</v>
      </c>
      <c r="H53" s="66">
        <v>0.53388503690449562</v>
      </c>
      <c r="I53" s="34">
        <v>0.42384254081860878</v>
      </c>
      <c r="J53" s="52">
        <v>4.2272422276895497E-2</v>
      </c>
      <c r="K53" s="68">
        <v>1.5069057286799219</v>
      </c>
      <c r="L53" s="32">
        <v>2.1214268537091758</v>
      </c>
      <c r="M53" s="54">
        <v>2.2030087343579412</v>
      </c>
      <c r="N53" s="68">
        <v>0.4038819320728218</v>
      </c>
      <c r="O53" s="32">
        <v>0.35687871121717779</v>
      </c>
      <c r="P53" s="54">
        <v>3.6406390600605201E-2</v>
      </c>
      <c r="Q53" s="70">
        <v>0.79716703389060484</v>
      </c>
      <c r="R53" s="56">
        <v>-1.3808789445899921</v>
      </c>
      <c r="S53" s="58">
        <v>1.14812184878857</v>
      </c>
      <c r="T53" s="90">
        <v>50</v>
      </c>
      <c r="U53" s="60">
        <v>0.78905703199999999</v>
      </c>
      <c r="V53" s="60">
        <v>-1.2660060710000001</v>
      </c>
      <c r="W53" s="39">
        <v>1.1100237580000001</v>
      </c>
      <c r="X53" s="40">
        <v>51</v>
      </c>
    </row>
    <row r="54" spans="1:24" x14ac:dyDescent="0.3">
      <c r="A54" s="38" t="s">
        <v>144</v>
      </c>
      <c r="B54" s="30" t="s">
        <v>145</v>
      </c>
      <c r="C54" s="30" t="s">
        <v>146</v>
      </c>
      <c r="D54" s="62">
        <v>243</v>
      </c>
      <c r="E54" s="45">
        <v>396</v>
      </c>
      <c r="F54" s="48">
        <v>154</v>
      </c>
      <c r="G54" s="48">
        <v>793</v>
      </c>
      <c r="H54" s="65">
        <v>0.30643127364438838</v>
      </c>
      <c r="I54" s="31">
        <v>0.49936948297604028</v>
      </c>
      <c r="J54" s="51">
        <v>0.1941992433795712</v>
      </c>
      <c r="K54" s="68">
        <v>1.7566431510875959</v>
      </c>
      <c r="L54" s="32">
        <v>1.989168197122742</v>
      </c>
      <c r="M54" s="54">
        <v>1.7100005153576581</v>
      </c>
      <c r="N54" s="68">
        <v>0.27023227981184739</v>
      </c>
      <c r="O54" s="32">
        <v>0.3942589320407266</v>
      </c>
      <c r="P54" s="54">
        <v>0.1298219253560029</v>
      </c>
      <c r="Q54" s="70">
        <v>0.79431313720857699</v>
      </c>
      <c r="R54" s="56">
        <v>-1.4005065380305901</v>
      </c>
      <c r="S54" s="58">
        <v>1.12890646800725</v>
      </c>
      <c r="T54" s="90">
        <v>51</v>
      </c>
      <c r="U54" s="60">
        <v>0.79238245900000004</v>
      </c>
      <c r="V54" s="60">
        <v>-1.245919252</v>
      </c>
      <c r="W54" s="39">
        <v>1.1320775240000001</v>
      </c>
      <c r="X54" s="40">
        <v>50</v>
      </c>
    </row>
    <row r="55" spans="1:24" x14ac:dyDescent="0.3">
      <c r="A55" s="41" t="s">
        <v>138</v>
      </c>
      <c r="B55" s="33" t="s">
        <v>139</v>
      </c>
      <c r="C55" s="33" t="s">
        <v>140</v>
      </c>
      <c r="D55" s="63">
        <v>776</v>
      </c>
      <c r="E55" s="46">
        <v>1218</v>
      </c>
      <c r="F55" s="49">
        <v>105</v>
      </c>
      <c r="G55" s="49">
        <v>2099</v>
      </c>
      <c r="H55" s="66">
        <v>0.36969985707479752</v>
      </c>
      <c r="I55" s="34">
        <v>0.58027632205812296</v>
      </c>
      <c r="J55" s="52">
        <v>5.0023820867079502E-2</v>
      </c>
      <c r="K55" s="68">
        <v>1.6243188512518409</v>
      </c>
      <c r="L55" s="32">
        <v>2.0041236313403799</v>
      </c>
      <c r="M55" s="54">
        <v>1.462728647014361</v>
      </c>
      <c r="N55" s="68">
        <v>0.30146795809371357</v>
      </c>
      <c r="O55" s="32">
        <v>0.4615804371825325</v>
      </c>
      <c r="P55" s="54">
        <v>2.8605194061229602E-2</v>
      </c>
      <c r="Q55" s="70">
        <v>0.79165358933747576</v>
      </c>
      <c r="R55" s="56">
        <v>-1.418797503039418</v>
      </c>
      <c r="S55" s="58">
        <v>1.1109996441999319</v>
      </c>
      <c r="T55" s="90">
        <v>52</v>
      </c>
      <c r="U55" s="60">
        <v>0.82021530899999995</v>
      </c>
      <c r="V55" s="60">
        <v>-1.07779845</v>
      </c>
      <c r="W55" s="39">
        <v>1.3166610940000001</v>
      </c>
      <c r="X55" s="40">
        <v>44</v>
      </c>
    </row>
    <row r="56" spans="1:24" x14ac:dyDescent="0.3">
      <c r="A56" s="38" t="s">
        <v>51</v>
      </c>
      <c r="B56" s="30" t="s">
        <v>52</v>
      </c>
      <c r="C56" s="30" t="s">
        <v>53</v>
      </c>
      <c r="D56" s="62">
        <v>205</v>
      </c>
      <c r="E56" s="45">
        <v>301</v>
      </c>
      <c r="F56" s="48">
        <v>20</v>
      </c>
      <c r="G56" s="48">
        <v>526</v>
      </c>
      <c r="H56" s="65">
        <v>0.38973384030418251</v>
      </c>
      <c r="I56" s="31">
        <v>0.57224334600760451</v>
      </c>
      <c r="J56" s="51">
        <v>3.8022813688212899E-2</v>
      </c>
      <c r="K56" s="68">
        <v>1.8232229965156801</v>
      </c>
      <c r="L56" s="32">
        <v>1.51140246796393</v>
      </c>
      <c r="M56" s="54">
        <v>3.9633333333333329</v>
      </c>
      <c r="N56" s="68">
        <v>0.35672085397240089</v>
      </c>
      <c r="O56" s="32">
        <v>0.34328032598494268</v>
      </c>
      <c r="P56" s="54">
        <v>5.8912726483077701E-2</v>
      </c>
      <c r="Q56" s="70">
        <v>0.75891390644042134</v>
      </c>
      <c r="R56" s="56">
        <v>-1.643963743052312</v>
      </c>
      <c r="S56" s="58">
        <v>0.89056227606101812</v>
      </c>
      <c r="T56" s="90">
        <v>53</v>
      </c>
      <c r="U56" s="60">
        <v>0.71920932900000001</v>
      </c>
      <c r="V56" s="60">
        <v>-1.6879122740000001</v>
      </c>
      <c r="W56" s="39">
        <v>0.64680354799999995</v>
      </c>
      <c r="X56" s="40">
        <v>52</v>
      </c>
    </row>
    <row r="57" spans="1:24" x14ac:dyDescent="0.3">
      <c r="A57" s="41" t="s">
        <v>87</v>
      </c>
      <c r="B57" s="33" t="s">
        <v>88</v>
      </c>
      <c r="C57" s="33" t="s">
        <v>89</v>
      </c>
      <c r="D57" s="63">
        <v>2341</v>
      </c>
      <c r="E57" s="46">
        <v>1766</v>
      </c>
      <c r="F57" s="49">
        <v>59</v>
      </c>
      <c r="G57" s="49">
        <v>4166</v>
      </c>
      <c r="H57" s="66">
        <v>0.56192990878540572</v>
      </c>
      <c r="I57" s="34">
        <v>0.42390782525204029</v>
      </c>
      <c r="J57" s="52">
        <v>1.4162265962554E-2</v>
      </c>
      <c r="K57" s="68">
        <v>1.259518724191941</v>
      </c>
      <c r="L57" s="32">
        <v>1.8631707382839879</v>
      </c>
      <c r="M57" s="54">
        <v>2.7866828087167068</v>
      </c>
      <c r="N57" s="68">
        <v>0.35530994905242552</v>
      </c>
      <c r="O57" s="32">
        <v>0.3134816499513326</v>
      </c>
      <c r="P57" s="54">
        <v>1.5428530216113E-2</v>
      </c>
      <c r="Q57" s="70">
        <v>0.68422012921987119</v>
      </c>
      <c r="R57" s="56">
        <v>-2.157668076169879</v>
      </c>
      <c r="S57" s="58">
        <v>0.38764660278997898</v>
      </c>
      <c r="T57" s="90">
        <v>54</v>
      </c>
      <c r="U57" s="60">
        <v>0.62167959800000006</v>
      </c>
      <c r="V57" s="60">
        <v>-2.2770282559999999</v>
      </c>
      <c r="W57" s="39">
        <v>0</v>
      </c>
      <c r="X57" s="40">
        <v>53</v>
      </c>
    </row>
    <row r="59" spans="1:24" x14ac:dyDescent="0.3">
      <c r="A59" s="77" t="s">
        <v>201</v>
      </c>
      <c r="B59" s="77" t="s">
        <v>202</v>
      </c>
      <c r="C59" s="77"/>
      <c r="D59" s="76"/>
      <c r="E59" s="76"/>
      <c r="F59" s="76"/>
      <c r="G59" s="76"/>
      <c r="H59" s="76"/>
      <c r="I59" s="76"/>
      <c r="J59" s="76"/>
      <c r="K59" s="78">
        <v>1.991954</v>
      </c>
      <c r="L59" s="78">
        <v>2.5194860000000001</v>
      </c>
      <c r="M59" s="78">
        <v>2.5579719999999999</v>
      </c>
      <c r="N59" s="78">
        <v>0.99795</v>
      </c>
      <c r="O59" s="78">
        <v>0.145402</v>
      </c>
      <c r="P59" s="78"/>
      <c r="Q59" s="76"/>
      <c r="R59" s="76"/>
      <c r="S59" s="76"/>
      <c r="T59" s="92"/>
      <c r="U59" s="76"/>
      <c r="V59" s="76"/>
      <c r="W59" s="76"/>
      <c r="X59" s="76"/>
    </row>
  </sheetData>
  <mergeCells count="8">
    <mergeCell ref="U2:X2"/>
    <mergeCell ref="Q2:T2"/>
    <mergeCell ref="A2:C2"/>
    <mergeCell ref="A1:T1"/>
    <mergeCell ref="D2:G2"/>
    <mergeCell ref="H2:J2"/>
    <mergeCell ref="K2:M2"/>
    <mergeCell ref="N2:P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명지대 기본 지표 테이블</vt:lpstr>
      <vt:lpstr>국제학술지 논문당 피인용_only articles</vt:lpstr>
      <vt:lpstr>국제협업논문_only articles</vt:lpstr>
      <vt:lpstr>인문사회 국내논문당 피인용_only 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2026-05-18T01:59:44Z</dcterms:created>
  <dcterms:modified xsi:type="dcterms:W3CDTF">2026-05-27T01:21:11Z</dcterms:modified>
</cp:coreProperties>
</file>